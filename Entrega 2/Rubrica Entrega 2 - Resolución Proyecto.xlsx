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ablo\Presentaciones - Estado de avance\"/>
    </mc:Choice>
  </mc:AlternateContent>
  <xr:revisionPtr revIDLastSave="0" documentId="13_ncr:1_{D33F343B-D0A7-4633-9103-E173EC3BA29F}" xr6:coauthVersionLast="47" xr6:coauthVersionMax="47" xr10:uidLastSave="{00000000-0000-0000-0000-000000000000}"/>
  <bookViews>
    <workbookView xWindow="-120" yWindow="-120" windowWidth="20730" windowHeight="11160" tabRatio="500" xr2:uid="{00000000-000D-0000-FFFF-FFFF00000000}"/>
  </bookViews>
  <sheets>
    <sheet name="Entrega2"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83" i="1" l="1"/>
  <c r="R85" i="1" s="1"/>
  <c r="J83" i="1"/>
  <c r="J85" i="1" s="1"/>
  <c r="U82" i="1"/>
  <c r="T82" i="1"/>
  <c r="S82" i="1"/>
  <c r="R82" i="1"/>
  <c r="Q82" i="1"/>
  <c r="P82" i="1"/>
  <c r="O82" i="1"/>
  <c r="N82" i="1"/>
  <c r="M82" i="1"/>
  <c r="L82" i="1"/>
  <c r="K82" i="1"/>
  <c r="J82" i="1"/>
  <c r="I82" i="1"/>
  <c r="B82" i="1"/>
  <c r="U81" i="1"/>
  <c r="T81" i="1"/>
  <c r="S81" i="1"/>
  <c r="R81" i="1"/>
  <c r="Q81" i="1"/>
  <c r="P81" i="1"/>
  <c r="O81" i="1"/>
  <c r="N81" i="1"/>
  <c r="M81" i="1"/>
  <c r="L81" i="1"/>
  <c r="K81" i="1"/>
  <c r="J81" i="1"/>
  <c r="I81" i="1"/>
  <c r="B81" i="1"/>
  <c r="U80" i="1"/>
  <c r="T80" i="1"/>
  <c r="S80" i="1"/>
  <c r="R80" i="1"/>
  <c r="Q80" i="1"/>
  <c r="P80" i="1"/>
  <c r="O80" i="1"/>
  <c r="N80" i="1"/>
  <c r="M80" i="1"/>
  <c r="L80" i="1"/>
  <c r="K80" i="1"/>
  <c r="J80" i="1"/>
  <c r="I80" i="1"/>
  <c r="B80" i="1"/>
  <c r="U79" i="1"/>
  <c r="T79" i="1"/>
  <c r="S79" i="1"/>
  <c r="R79" i="1"/>
  <c r="Q79" i="1"/>
  <c r="P79" i="1"/>
  <c r="O79" i="1"/>
  <c r="N79" i="1"/>
  <c r="M79" i="1"/>
  <c r="L79" i="1"/>
  <c r="K79" i="1"/>
  <c r="J79" i="1"/>
  <c r="I79" i="1"/>
  <c r="B79" i="1"/>
  <c r="U78" i="1"/>
  <c r="T78" i="1"/>
  <c r="S78" i="1"/>
  <c r="R78" i="1"/>
  <c r="Q78" i="1"/>
  <c r="P78" i="1"/>
  <c r="O78" i="1"/>
  <c r="N78" i="1"/>
  <c r="M78" i="1"/>
  <c r="L78" i="1"/>
  <c r="K78" i="1"/>
  <c r="J78" i="1"/>
  <c r="I78" i="1"/>
  <c r="B78" i="1"/>
  <c r="U77" i="1"/>
  <c r="T77" i="1"/>
  <c r="S77" i="1"/>
  <c r="R77" i="1"/>
  <c r="Q77" i="1"/>
  <c r="P77" i="1"/>
  <c r="O77" i="1"/>
  <c r="N77" i="1"/>
  <c r="M77" i="1"/>
  <c r="L77" i="1"/>
  <c r="K77" i="1"/>
  <c r="J77" i="1"/>
  <c r="I77" i="1"/>
  <c r="B77" i="1"/>
  <c r="U76" i="1"/>
  <c r="T76" i="1"/>
  <c r="S76" i="1"/>
  <c r="R76" i="1"/>
  <c r="Q76" i="1"/>
  <c r="P76" i="1"/>
  <c r="O76" i="1"/>
  <c r="N76" i="1"/>
  <c r="M76" i="1"/>
  <c r="L76" i="1"/>
  <c r="K76" i="1"/>
  <c r="J76" i="1"/>
  <c r="I76" i="1"/>
  <c r="B76" i="1"/>
  <c r="U75" i="1"/>
  <c r="T75" i="1"/>
  <c r="S75" i="1"/>
  <c r="R75" i="1"/>
  <c r="Q75" i="1"/>
  <c r="P75" i="1"/>
  <c r="O75" i="1"/>
  <c r="N75" i="1"/>
  <c r="M75" i="1"/>
  <c r="L75" i="1"/>
  <c r="K75" i="1"/>
  <c r="J75" i="1"/>
  <c r="I75" i="1"/>
  <c r="B75" i="1"/>
  <c r="U74" i="1"/>
  <c r="U83" i="1" s="1"/>
  <c r="U85" i="1" s="1"/>
  <c r="T74" i="1"/>
  <c r="T83" i="1" s="1"/>
  <c r="T85" i="1" s="1"/>
  <c r="S74" i="1"/>
  <c r="S83" i="1" s="1"/>
  <c r="S85" i="1" s="1"/>
  <c r="R74" i="1"/>
  <c r="Q74" i="1"/>
  <c r="Q83" i="1" s="1"/>
  <c r="Q85" i="1" s="1"/>
  <c r="P74" i="1"/>
  <c r="P83" i="1" s="1"/>
  <c r="P85" i="1" s="1"/>
  <c r="O74" i="1"/>
  <c r="O83" i="1" s="1"/>
  <c r="O85" i="1" s="1"/>
  <c r="N74" i="1"/>
  <c r="N83" i="1" s="1"/>
  <c r="N85" i="1" s="1"/>
  <c r="M74" i="1"/>
  <c r="M83" i="1" s="1"/>
  <c r="M85" i="1" s="1"/>
  <c r="L74" i="1"/>
  <c r="L83" i="1" s="1"/>
  <c r="L85" i="1" s="1"/>
  <c r="K74" i="1"/>
  <c r="K83" i="1" s="1"/>
  <c r="K85" i="1" s="1"/>
  <c r="J74" i="1"/>
  <c r="I74" i="1"/>
  <c r="I83" i="1" s="1"/>
  <c r="I85" i="1" s="1"/>
  <c r="B74" i="1"/>
</calcChain>
</file>

<file path=xl/sharedStrings.xml><?xml version="1.0" encoding="utf-8"?>
<sst xmlns="http://schemas.openxmlformats.org/spreadsheetml/2006/main" count="66" uniqueCount="62">
  <si>
    <t>ENTREGABLE FINAL PROYECTO IA</t>
  </si>
  <si>
    <t>Escala: Excelente (5), Bueno (4), Aceptable (3), Deficiente (2), Malo (1), Ausente (0)</t>
  </si>
  <si>
    <t>ESTUDIANTE</t>
  </si>
  <si>
    <t>Ejemplo</t>
  </si>
  <si>
    <t>CÓDIGO FUENTE (20%)</t>
  </si>
  <si>
    <t>El código fuente presentado está completo. Tiene implementada toda la funcionalidad necesaria para obtener el resultado esperado.</t>
  </si>
  <si>
    <t>El código fuente está bien organizado, utiliza nombres de variables y funciones significativos. Está correctamente comentado, identado, es fácil identificar el propósito de cada segmento de código y cómo se relaciona con el resto.</t>
  </si>
  <si>
    <r>
      <rPr>
        <sz val="16"/>
        <color rgb="FF000000"/>
        <rFont val="Calibri"/>
        <family val="2"/>
        <charset val="1"/>
      </rPr>
      <t xml:space="preserve">El código viene acompañado de un archivo </t>
    </r>
    <r>
      <rPr>
        <b/>
        <sz val="16"/>
        <color rgb="FF000000"/>
        <rFont val="Calibri"/>
        <family val="2"/>
        <charset val="1"/>
      </rPr>
      <t>Makefile</t>
    </r>
    <r>
      <rPr>
        <sz val="16"/>
        <color rgb="FF000000"/>
        <rFont val="Calibri"/>
        <family val="2"/>
        <charset val="1"/>
      </rPr>
      <t xml:space="preserve"> que permite compilar y obtener un archivo ejecutable usando el comando make.</t>
    </r>
  </si>
  <si>
    <r>
      <rPr>
        <sz val="16"/>
        <color rgb="FF000000"/>
        <rFont val="Calibri"/>
        <family val="2"/>
        <charset val="1"/>
      </rPr>
      <t xml:space="preserve">El código no requiere el uso de librerías externas. Si las requiere está claramente especificado en el </t>
    </r>
    <r>
      <rPr>
        <b/>
        <sz val="16"/>
        <color rgb="FF000000"/>
        <rFont val="Calibri"/>
        <family val="2"/>
        <charset val="1"/>
      </rPr>
      <t>README</t>
    </r>
    <r>
      <rPr>
        <sz val="16"/>
        <color rgb="FF000000"/>
        <rFont val="Calibri"/>
        <family val="2"/>
        <charset val="1"/>
      </rPr>
      <t xml:space="preserve"> y éste incluye instrucciones de dónde obtenerlas y cómo usarlas. Si se siguen las instrucciones se ejecuta el código sin problemas.</t>
    </r>
  </si>
  <si>
    <t>El código se ejecuta sin problemas a partir de las indicaciones de los archivos README y Makefile. Se pueden ejecutar diferentes instancias modificando parámetros de entrada o archivos de configuración claramente especificados.</t>
  </si>
  <si>
    <t>El código no se cae en ninguno de los experimentos ejecutados en la revisión.</t>
  </si>
  <si>
    <t>RESUMEN (2%)</t>
  </si>
  <si>
    <t xml:space="preserve">La sección presenta una redacción a la altura de un profesional: clara, precisa, sin redundancias y gramaticalmente correcta. Todo se redacta en 3ra. persona (impersonal). </t>
  </si>
  <si>
    <t>La sección tiene una longitud adecuada (no más de 10 líneas).</t>
  </si>
  <si>
    <t>Resume de manera clara y adecuada el contenido del Informe.</t>
  </si>
  <si>
    <t>El resumen dice lo suficiente para que un lector no involucrado en el proyecto comprenda el objetivo del documento.</t>
  </si>
  <si>
    <t>INTRODUCCIÓN (3%)</t>
  </si>
  <si>
    <t>Explica de buena manera la motivación.</t>
  </si>
  <si>
    <t>Describe de buena manera el problema a abordar.</t>
  </si>
  <si>
    <t>Describe de buena manera el acercamiento propuesto</t>
  </si>
  <si>
    <t>Describe de buena manera el entorno experimental y los resultados</t>
  </si>
  <si>
    <t>Detalla de buena manera el propósito del documento.</t>
  </si>
  <si>
    <t>Detalla de buena manera la estructura del documento.</t>
  </si>
  <si>
    <t>REPRESENTACIÓN (10%)</t>
  </si>
  <si>
    <t>La sección presenta una redacción a la altura de un profesional: clara, precisa, sin redundancias y gramaticalmente correcta. Todo se redacta en 3ra. persona (impersonal).</t>
  </si>
  <si>
    <t>Explica la estructura de la representación y su interpretación.</t>
  </si>
  <si>
    <t>La representación elegida es apropiada para el problema que resuelve. Reduce el espacio de búsqueda en lo posible. Existe una relación de uno a uno entre una solución representada y una solución al problema. Es posible representar la solución óptima con la representación elegida.</t>
  </si>
  <si>
    <t>La representación elegida está correctamente justificada. Es simple, es informativa, permite moverse en el espacio factible/infactible, se complementa bien con los operadores, es novedosa.</t>
  </si>
  <si>
    <t>Se incluyen ejemplos/esquemas/diagramas que apoyan la explicación de la representación. Se explican los ejemplos/esquemas/diagramas debidamente en el texto.</t>
  </si>
  <si>
    <t>Se abstrae debidamente la explicación de la representación respecto de detalles de la implementación. No se hace innecesaria mención a estructuras de datos/clases/funciones/métodos/procedimientos particulares del lenguaje de programación.</t>
  </si>
  <si>
    <t>DESCRIPCIÓN DEL ALGORITMO (20%)</t>
  </si>
  <si>
    <t>La sección está bien organizada. Comienza por la descripción general del algoritmo y la introducción de las principales componentes de la propuesta de solución implementada.</t>
  </si>
  <si>
    <t>Se describe en detalle la estructura general de funcionamiento del algoritmo</t>
  </si>
  <si>
    <t>Se utilizan esquemas/diagramas (de flujo)/pseudocódigos/ejemplos para apoyar la descripción de la estructura general de la propuesta.</t>
  </si>
  <si>
    <t>Se presenta, explica y justifica debidamente la función de evaluación. Es informativa y apropiada para el problema que resuelve. Si incorpora parámetros se identifican y explica su efecto en el proceso de búsqueda asociado.</t>
  </si>
  <si>
    <t>Se presenta, explica y justifica el proceso de inicialización. Se incorporan ejemplos/pseudocódigos que permiten aclarar el proceso. Si incorpora parámetros se identifican y explica su efecto en el proceso de búsqueda asociado.</t>
  </si>
  <si>
    <t>Se presenta/n, explica/n y justifica/n los movimientos/operadores de variación. Los requisitos mínimos de acuerdo a técnica asignada se explicitan en las reglas de proyectos. Se incorporan ejemplos/pseudocódigos que permiten aclarar el proceso. Si incorpora parámetros se identifican y explica su efecto en el proceso de búsqueda asociado.</t>
  </si>
  <si>
    <t>Los componentes del algoritmo como un todo son cohentes y se relacionan debidamente respecto a las necesidades de intensificación/diversificación de los algoritmos de búsqueda incompleta.</t>
  </si>
  <si>
    <t>EXPERIMENTOS (10%)</t>
  </si>
  <si>
    <t>La sección está bien organizada. Comienza por la descripción de los objetivos del proceso de experimentación, descripción de instancias de pruebas, hardware de experimentación y detalles específicos pertinentes al proceso: indicadores de calidad a evaluar, tiempo máximo de ejecución, avance del proceso, número de semillas aleatorias, criterios de término, entre otros.</t>
  </si>
  <si>
    <r>
      <rPr>
        <sz val="16"/>
        <color rgb="FF000000"/>
        <rFont val="Calibri"/>
        <family val="2"/>
        <charset val="1"/>
      </rPr>
      <t>Se propone una cantidad prudente de experimentos</t>
    </r>
    <r>
      <rPr>
        <sz val="16"/>
        <rFont val="Calibri"/>
        <family val="2"/>
        <charset val="1"/>
      </rPr>
      <t xml:space="preserve"> (utiliza al menos 5 instancias del problema)</t>
    </r>
  </si>
  <si>
    <t>Se describen las instancias de pruebas utilizadas en el informe. Si se utiliza solo una parte de ellas se debe justificar apropiadamente su elección. Si se utilizan instancias no provistas por los ayudantes, se deben explicar detalladamente, incluir con el código fuente y justificar.</t>
  </si>
  <si>
    <t>RESULTADOS (10%)</t>
  </si>
  <si>
    <t>La sección está bien organizada. Se condice con lo expuesto en la sección experimentos respecto a los objetivos del proceso de experimentación.</t>
  </si>
  <si>
    <t xml:space="preserve">En cada sección se utilizan recursos apropiados para presentar la información: tablas/gráficos.  </t>
  </si>
  <si>
    <t>En cada sección se describe debidamente la información presentada en cada tabla/gráfico en el texto del escrito.</t>
  </si>
  <si>
    <t>Se explican los resultados obtenidos. Se hace énfasis en lo más relevante y se justifica de acuerdo a lo que entiende el autor respecto al proceso de resolución y las características de las instancias,</t>
  </si>
  <si>
    <r>
      <rPr>
        <sz val="16"/>
        <color rgb="FF000000"/>
        <rFont val="Calibri"/>
        <family val="2"/>
        <charset val="1"/>
      </rPr>
      <t>Se presenta una cantidad prudente de resultados en esta sección</t>
    </r>
    <r>
      <rPr>
        <sz val="16"/>
        <rFont val="Calibri"/>
        <family val="2"/>
        <charset val="1"/>
      </rPr>
      <t xml:space="preserve"> (al menos 5 instancias del problema</t>
    </r>
    <r>
      <rPr>
        <sz val="16"/>
        <color rgb="FF000000"/>
        <rFont val="Calibri"/>
        <family val="2"/>
        <charset val="1"/>
      </rPr>
      <t>)</t>
    </r>
  </si>
  <si>
    <t>CONCLUSIONES (20%)</t>
  </si>
  <si>
    <t>La sección presenta una redacción a la altura de un profesional: clara, precisa, sin redundancias y gramaticalmente correcta. Todo se redacta en 3ra. persona (impersonal). La sección no presenta faltas de ortografía.</t>
  </si>
  <si>
    <t>La sección de conclusiones está bien organizada. Debe comenzar con aspectos generales del problema, debe incluir aspectos relativos a la propuesta de solución, aspectos relativos a los resultados y conclusiones relevantes respecto a lo más importante del proceso de experimentación.</t>
  </si>
  <si>
    <t>Las conclusiones se justifican a partir de los resultados obtenidos y se condicen con los objetivos de experimentación planteados</t>
  </si>
  <si>
    <t>Las conclusiones dejan en claro la importancia del problema, sus variantes y las ventajas y desventajas de los métodos de resolución del estado del arte</t>
  </si>
  <si>
    <r>
      <rPr>
        <sz val="16"/>
        <rFont val="Calibri"/>
        <family val="2"/>
        <charset val="1"/>
      </rPr>
      <t xml:space="preserve">Las conclusiones justifican la relevancia de la propuesta de resolución y </t>
    </r>
    <r>
      <rPr>
        <b/>
        <sz val="16"/>
        <rFont val="Calibri"/>
        <family val="2"/>
        <charset val="1"/>
      </rPr>
      <t>resaltan</t>
    </r>
    <r>
      <rPr>
        <sz val="16"/>
        <rFont val="Calibri"/>
        <family val="2"/>
        <charset val="1"/>
      </rPr>
      <t xml:space="preserve"> los aspectos más importantes de la propuesta.</t>
    </r>
  </si>
  <si>
    <t>Las conclusiones explican cómo los resultados se condicen/contradicen respecto a los supuestos de la formulación de la propuesta.</t>
  </si>
  <si>
    <t>BIBLIOGRAFÍA (5%)</t>
  </si>
  <si>
    <t>Se presenta bibliografía de manera correcta, detallando autor, tipo de publicación, año, editorial, páginas, etc. Si se trata de un sitio web se incluye dirección completa y fecha de la consulta.</t>
  </si>
  <si>
    <t>Se presentan al menos 3 referencias bibliográficas distintas a las entregadas por los ayudantes. sitio web se incluye dirección completa y fecha de la consulta.</t>
  </si>
  <si>
    <t>Se utilizan fuentes académicas fidedignas (sitios de universidades, revistas electrónicas especializadas, ACM, IEEE, etc.). Sitios como Wikipedia no deben estar presentes.</t>
  </si>
  <si>
    <t>NOTA FINAL (Sin Descuentos)</t>
  </si>
  <si>
    <t>DESCUENTOS</t>
  </si>
  <si>
    <t>NOTA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</si>
</sst>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amily val="2"/>
      <charset val="1"/>
    </font>
    <font>
      <b/>
      <sz val="30"/>
      <color rgb="FFFFFFFF"/>
      <name val="Calibri"/>
      <family val="2"/>
      <charset val="1"/>
    </font>
    <font>
      <b/>
      <sz val="12"/>
      <color rgb="FF000000"/>
      <name val="Calibri"/>
      <family val="2"/>
      <charset val="1"/>
    </font>
    <font>
      <sz val="20"/>
      <color rgb="FF000000"/>
      <name val="Calibri"/>
      <family val="2"/>
      <charset val="1"/>
    </font>
    <font>
      <b/>
      <sz val="20"/>
      <color rgb="FFFFFFFF"/>
      <name val="Calibri"/>
      <family val="2"/>
      <charset val="1"/>
    </font>
    <font>
      <sz val="16"/>
      <color rgb="FF000000"/>
      <name val="Calibri"/>
      <family val="2"/>
      <charset val="1"/>
    </font>
    <font>
      <b/>
      <sz val="16"/>
      <color rgb="FF000000"/>
      <name val="Calibri"/>
      <family val="2"/>
      <charset val="1"/>
    </font>
    <font>
      <sz val="16"/>
      <name val="Calibri"/>
      <family val="2"/>
      <charset val="1"/>
    </font>
    <font>
      <b/>
      <sz val="16"/>
      <name val="Calibri"/>
      <family val="2"/>
      <charset val="1"/>
    </font>
  </fonts>
  <fills count="9">
    <fill>
      <patternFill patternType="none"/>
    </fill>
    <fill>
      <patternFill patternType="gray125"/>
    </fill>
    <fill>
      <patternFill patternType="solid">
        <fgColor rgb="FF002060"/>
        <bgColor rgb="FF000080"/>
      </patternFill>
    </fill>
    <fill>
      <patternFill patternType="solid">
        <fgColor rgb="FF8FAADC"/>
        <bgColor rgb="FF9DC3E6"/>
      </patternFill>
    </fill>
    <fill>
      <patternFill patternType="solid">
        <fgColor rgb="FFFFD966"/>
        <bgColor rgb="FFF8CBAD"/>
      </patternFill>
    </fill>
    <fill>
      <patternFill patternType="solid">
        <fgColor rgb="FF2A6099"/>
        <bgColor rgb="FF666699"/>
      </patternFill>
    </fill>
    <fill>
      <patternFill patternType="solid">
        <fgColor rgb="FF9DC3E6"/>
        <bgColor rgb="FF8FAADC"/>
      </patternFill>
    </fill>
    <fill>
      <patternFill patternType="solid">
        <fgColor rgb="FFF8CBAD"/>
        <bgColor rgb="FFFFD966"/>
      </patternFill>
    </fill>
    <fill>
      <patternFill patternType="solid">
        <fgColor rgb="FFFF4000"/>
        <bgColor rgb="FFFF000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2" fillId="0" borderId="0" xfId="0" applyFont="1" applyAlignment="1">
      <alignment horizontal="right" vertical="center" textRotation="255"/>
    </xf>
    <xf numFmtId="0" fontId="2" fillId="0" borderId="0" xfId="0" applyFont="1" applyAlignment="1">
      <alignment horizontal="center" vertical="center" textRotation="255"/>
    </xf>
    <xf numFmtId="0" fontId="0" fillId="0" borderId="0" xfId="0" applyAlignment="1">
      <alignment horizontal="left" vertical="center" wrapText="1"/>
    </xf>
    <xf numFmtId="0" fontId="0" fillId="0" borderId="0" xfId="0"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0" borderId="0" xfId="0" applyAlignment="1">
      <alignment horizontal="left"/>
    </xf>
    <xf numFmtId="0" fontId="5" fillId="0" borderId="0" xfId="0" applyFont="1"/>
    <xf numFmtId="1" fontId="0" fillId="6" borderId="1" xfId="0" applyNumberFormat="1" applyFill="1" applyBorder="1" applyAlignment="1">
      <alignment horizontal="center" vertical="center"/>
    </xf>
    <xf numFmtId="2" fontId="0" fillId="7" borderId="1" xfId="0" applyNumberFormat="1" applyFill="1" applyBorder="1" applyAlignment="1">
      <alignment horizontal="center" vertical="center"/>
    </xf>
    <xf numFmtId="2" fontId="0" fillId="6" borderId="1" xfId="0" applyNumberFormat="1" applyFill="1" applyBorder="1" applyAlignment="1">
      <alignment horizontal="center" vertical="center"/>
    </xf>
    <xf numFmtId="0" fontId="0" fillId="6" borderId="4" xfId="0" applyFill="1" applyBorder="1" applyAlignment="1">
      <alignment horizontal="center" vertical="center"/>
    </xf>
    <xf numFmtId="2" fontId="0" fillId="7" borderId="4" xfId="0" applyNumberFormat="1" applyFill="1" applyBorder="1" applyAlignment="1">
      <alignment horizontal="center" vertical="center"/>
    </xf>
    <xf numFmtId="2" fontId="0" fillId="6" borderId="4" xfId="0" applyNumberFormat="1" applyFill="1" applyBorder="1" applyAlignment="1">
      <alignment horizontal="center" vertical="center"/>
    </xf>
    <xf numFmtId="0" fontId="4" fillId="5" borderId="1" xfId="0" applyFont="1" applyFill="1" applyBorder="1" applyAlignment="1">
      <alignment horizontal="right" vertical="center" wrapText="1"/>
    </xf>
    <xf numFmtId="0" fontId="4" fillId="8" borderId="1" xfId="0" applyFont="1" applyFill="1" applyBorder="1" applyAlignment="1">
      <alignment horizontal="right" vertical="center" wrapText="1"/>
    </xf>
    <xf numFmtId="0" fontId="5"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5" borderId="1" xfId="0" applyFont="1" applyFill="1" applyBorder="1" applyAlignment="1">
      <alignment horizontal="left" vertical="center" wrapText="1"/>
    </xf>
    <xf numFmtId="0" fontId="5" fillId="0" borderId="5" xfId="0" applyFont="1" applyBorder="1" applyAlignment="1">
      <alignment horizontal="left" vertical="center" wrapText="1"/>
    </xf>
    <xf numFmtId="0" fontId="0" fillId="0" borderId="0" xfId="0" applyAlignment="1">
      <alignment horizontal="left" vertical="center" wrapText="1"/>
    </xf>
    <xf numFmtId="0" fontId="5" fillId="0" borderId="4" xfId="0" applyFont="1" applyBorder="1" applyAlignment="1">
      <alignment horizontal="left" vertical="center" wrapText="1"/>
    </xf>
    <xf numFmtId="0" fontId="1" fillId="2" borderId="1" xfId="0" applyFont="1" applyFill="1" applyBorder="1" applyAlignment="1">
      <alignment horizontal="left" vertical="center" wrapText="1"/>
    </xf>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2" fillId="3" borderId="1" xfId="0" applyFont="1" applyFill="1" applyBorder="1" applyAlignment="1">
      <alignment horizontal="center" vertical="center" textRotation="255"/>
    </xf>
    <xf numFmtId="0" fontId="2" fillId="4" borderId="1" xfId="0" applyFont="1" applyFill="1" applyBorder="1" applyAlignment="1">
      <alignment horizontal="center" vertical="center" textRotation="255"/>
    </xf>
    <xf numFmtId="0" fontId="2" fillId="4" borderId="2" xfId="0" applyFont="1" applyFill="1" applyBorder="1" applyAlignment="1">
      <alignment horizontal="center" vertical="center" textRotation="255"/>
    </xf>
  </cellXfs>
  <cellStyles count="1">
    <cellStyle name="Normal" xfId="0" builtinId="0"/>
  </cellStyles>
  <dxfs count="3">
    <dxf>
      <font>
        <color rgb="FFFF0000"/>
      </font>
    </dxf>
    <dxf>
      <font>
        <color rgb="FFFF0000"/>
      </font>
    </dxf>
    <dxf>
      <font>
        <color rgb="FFFF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D966"/>
      <rgbColor rgb="FF9DC3E6"/>
      <rgbColor rgb="FFFF99CC"/>
      <rgbColor rgb="FFCC99FF"/>
      <rgbColor rgb="FFF8CBAD"/>
      <rgbColor rgb="FF3366FF"/>
      <rgbColor rgb="FF33CCCC"/>
      <rgbColor rgb="FF99CC00"/>
      <rgbColor rgb="FFFFCC00"/>
      <rgbColor rgb="FFFF9900"/>
      <rgbColor rgb="FFFF4000"/>
      <rgbColor rgb="FF666699"/>
      <rgbColor rgb="FF969696"/>
      <rgbColor rgb="FF00206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5"/>
  <sheetViews>
    <sheetView tabSelected="1" topLeftCell="A64" zoomScale="55" zoomScaleNormal="55" workbookViewId="0">
      <selection activeCell="H5" sqref="H5"/>
    </sheetView>
  </sheetViews>
  <sheetFormatPr baseColWidth="10" defaultColWidth="11" defaultRowHeight="15.75" x14ac:dyDescent="0.25"/>
  <cols>
    <col min="7" max="7" width="61.125" customWidth="1"/>
    <col min="1009" max="1024" width="10.5" customWidth="1"/>
  </cols>
  <sheetData>
    <row r="1" spans="1:21" ht="39" customHeight="1" x14ac:dyDescent="0.25">
      <c r="B1" s="23" t="s">
        <v>0</v>
      </c>
      <c r="C1" s="23"/>
      <c r="D1" s="23"/>
      <c r="E1" s="23"/>
      <c r="F1" s="23"/>
      <c r="G1" s="23"/>
      <c r="I1" s="24" t="s">
        <v>1</v>
      </c>
      <c r="J1" s="24"/>
      <c r="K1" s="24"/>
      <c r="L1" s="24"/>
      <c r="M1" s="24"/>
      <c r="N1" s="24"/>
      <c r="O1" s="24"/>
      <c r="P1" s="24"/>
      <c r="Q1" s="24"/>
      <c r="R1" s="24"/>
      <c r="S1" s="24"/>
      <c r="T1" s="24"/>
      <c r="U1" s="24"/>
    </row>
    <row r="2" spans="1:21" ht="90" customHeight="1" x14ac:dyDescent="0.25">
      <c r="B2" s="25" t="s">
        <v>2</v>
      </c>
      <c r="C2" s="25"/>
      <c r="D2" s="25"/>
      <c r="E2" s="25"/>
      <c r="F2" s="25"/>
      <c r="G2" s="25"/>
      <c r="I2" s="26" t="s">
        <v>3</v>
      </c>
      <c r="J2" s="27"/>
      <c r="K2" s="26"/>
      <c r="L2" s="27"/>
      <c r="M2" s="26"/>
      <c r="N2" s="27"/>
      <c r="O2" s="26"/>
      <c r="P2" s="27"/>
      <c r="Q2" s="26"/>
      <c r="R2" s="27"/>
      <c r="S2" s="26"/>
      <c r="T2" s="28"/>
      <c r="U2" s="26"/>
    </row>
    <row r="3" spans="1:21" ht="81" customHeight="1" x14ac:dyDescent="0.25">
      <c r="B3" s="25"/>
      <c r="C3" s="25"/>
      <c r="D3" s="25"/>
      <c r="E3" s="25"/>
      <c r="F3" s="25"/>
      <c r="G3" s="25"/>
      <c r="I3" s="26"/>
      <c r="J3" s="27"/>
      <c r="K3" s="26"/>
      <c r="L3" s="27"/>
      <c r="M3" s="26"/>
      <c r="N3" s="27"/>
      <c r="O3" s="26"/>
      <c r="P3" s="27"/>
      <c r="Q3" s="26"/>
      <c r="R3" s="27"/>
      <c r="S3" s="26"/>
      <c r="T3" s="28"/>
      <c r="U3" s="26"/>
    </row>
    <row r="4" spans="1:21" x14ac:dyDescent="0.25">
      <c r="I4" s="1"/>
      <c r="J4" s="1"/>
      <c r="K4" s="1"/>
      <c r="L4" s="1"/>
      <c r="M4" s="1"/>
      <c r="N4" s="1"/>
      <c r="O4" s="2"/>
      <c r="P4" s="1"/>
      <c r="Q4" s="2"/>
      <c r="R4" s="2"/>
      <c r="S4" s="1"/>
      <c r="T4" s="1"/>
      <c r="U4" s="1"/>
    </row>
    <row r="5" spans="1:21" x14ac:dyDescent="0.25">
      <c r="B5" s="3"/>
      <c r="C5" s="3"/>
      <c r="D5" s="3"/>
      <c r="E5" s="3"/>
      <c r="F5" s="3"/>
      <c r="G5" s="3"/>
      <c r="I5" s="4"/>
      <c r="J5" s="4"/>
      <c r="K5" s="4"/>
      <c r="L5" s="4"/>
      <c r="M5" s="4"/>
      <c r="N5" s="4"/>
      <c r="O5" s="4"/>
      <c r="P5" s="4"/>
      <c r="Q5" s="4"/>
      <c r="R5" s="4"/>
      <c r="S5" s="4"/>
      <c r="T5" s="4"/>
      <c r="U5" s="4"/>
    </row>
    <row r="6" spans="1:21" ht="24.4" customHeight="1" x14ac:dyDescent="0.25">
      <c r="B6" s="19" t="s">
        <v>4</v>
      </c>
      <c r="C6" s="19"/>
      <c r="D6" s="19"/>
      <c r="E6" s="19"/>
      <c r="F6" s="19"/>
      <c r="G6" s="19"/>
      <c r="I6" s="4"/>
      <c r="J6" s="4"/>
      <c r="K6" s="4"/>
      <c r="L6" s="4"/>
      <c r="M6" s="4"/>
      <c r="N6" s="4"/>
      <c r="O6" s="4"/>
      <c r="P6" s="4"/>
      <c r="Q6" s="4"/>
      <c r="R6" s="4"/>
      <c r="S6" s="4"/>
      <c r="T6" s="4"/>
      <c r="U6" s="4"/>
    </row>
    <row r="7" spans="1:21" ht="51" customHeight="1" x14ac:dyDescent="0.25">
      <c r="B7" s="17" t="s">
        <v>5</v>
      </c>
      <c r="C7" s="17"/>
      <c r="D7" s="17"/>
      <c r="E7" s="17"/>
      <c r="F7" s="17"/>
      <c r="G7" s="17"/>
      <c r="I7" s="5">
        <v>5</v>
      </c>
      <c r="J7" s="6">
        <v>0</v>
      </c>
      <c r="K7" s="5">
        <v>0</v>
      </c>
      <c r="L7" s="6">
        <v>0</v>
      </c>
      <c r="M7" s="5">
        <v>0</v>
      </c>
      <c r="N7" s="6">
        <v>0</v>
      </c>
      <c r="O7" s="5">
        <v>0</v>
      </c>
      <c r="P7" s="6">
        <v>0</v>
      </c>
      <c r="Q7" s="5">
        <v>0</v>
      </c>
      <c r="R7" s="6">
        <v>0</v>
      </c>
      <c r="S7" s="5">
        <v>0</v>
      </c>
      <c r="T7" s="6">
        <v>0</v>
      </c>
      <c r="U7" s="5">
        <v>0</v>
      </c>
    </row>
    <row r="8" spans="1:21" ht="75" customHeight="1" x14ac:dyDescent="0.25">
      <c r="A8" s="7"/>
      <c r="B8" s="17" t="s">
        <v>6</v>
      </c>
      <c r="C8" s="17"/>
      <c r="D8" s="17"/>
      <c r="E8" s="17"/>
      <c r="F8" s="17"/>
      <c r="G8" s="17"/>
      <c r="I8" s="5">
        <v>5</v>
      </c>
      <c r="J8" s="6">
        <v>0</v>
      </c>
      <c r="K8" s="5">
        <v>0</v>
      </c>
      <c r="L8" s="6">
        <v>0</v>
      </c>
      <c r="M8" s="5">
        <v>0</v>
      </c>
      <c r="N8" s="6">
        <v>0</v>
      </c>
      <c r="O8" s="5">
        <v>0</v>
      </c>
      <c r="P8" s="6">
        <v>0</v>
      </c>
      <c r="Q8" s="5">
        <v>0</v>
      </c>
      <c r="R8" s="6">
        <v>0</v>
      </c>
      <c r="S8" s="5">
        <v>0</v>
      </c>
      <c r="T8" s="6">
        <v>0</v>
      </c>
      <c r="U8" s="5">
        <v>0</v>
      </c>
    </row>
    <row r="9" spans="1:21" ht="48.75" customHeight="1" x14ac:dyDescent="0.25">
      <c r="A9" s="7"/>
      <c r="B9" s="17" t="s">
        <v>7</v>
      </c>
      <c r="C9" s="17"/>
      <c r="D9" s="17"/>
      <c r="E9" s="17"/>
      <c r="F9" s="17"/>
      <c r="G9" s="17"/>
      <c r="I9" s="5">
        <v>5</v>
      </c>
      <c r="J9" s="6">
        <v>0</v>
      </c>
      <c r="K9" s="5">
        <v>0</v>
      </c>
      <c r="L9" s="6">
        <v>0</v>
      </c>
      <c r="M9" s="5">
        <v>0</v>
      </c>
      <c r="N9" s="6">
        <v>0</v>
      </c>
      <c r="O9" s="5">
        <v>0</v>
      </c>
      <c r="P9" s="6">
        <v>0</v>
      </c>
      <c r="Q9" s="5">
        <v>0</v>
      </c>
      <c r="R9" s="6">
        <v>0</v>
      </c>
      <c r="S9" s="5">
        <v>0</v>
      </c>
      <c r="T9" s="6">
        <v>0</v>
      </c>
      <c r="U9" s="5">
        <v>0</v>
      </c>
    </row>
    <row r="10" spans="1:21" ht="72.75" customHeight="1" x14ac:dyDescent="0.25">
      <c r="A10" s="7"/>
      <c r="B10" s="17" t="s">
        <v>8</v>
      </c>
      <c r="C10" s="17"/>
      <c r="D10" s="17"/>
      <c r="E10" s="17"/>
      <c r="F10" s="17"/>
      <c r="G10" s="17"/>
      <c r="I10" s="5">
        <v>5</v>
      </c>
      <c r="J10" s="6">
        <v>0</v>
      </c>
      <c r="K10" s="5">
        <v>0</v>
      </c>
      <c r="L10" s="6">
        <v>0</v>
      </c>
      <c r="M10" s="5">
        <v>0</v>
      </c>
      <c r="N10" s="6">
        <v>0</v>
      </c>
      <c r="O10" s="5">
        <v>0</v>
      </c>
      <c r="P10" s="6">
        <v>0</v>
      </c>
      <c r="Q10" s="5">
        <v>0</v>
      </c>
      <c r="R10" s="6">
        <v>0</v>
      </c>
      <c r="S10" s="5">
        <v>0</v>
      </c>
      <c r="T10" s="6">
        <v>0</v>
      </c>
      <c r="U10" s="5">
        <v>0</v>
      </c>
    </row>
    <row r="11" spans="1:21" ht="64.5" customHeight="1" x14ac:dyDescent="0.25">
      <c r="B11" s="22" t="s">
        <v>9</v>
      </c>
      <c r="C11" s="22"/>
      <c r="D11" s="22"/>
      <c r="E11" s="22"/>
      <c r="F11" s="22"/>
      <c r="G11" s="22"/>
      <c r="I11" s="5">
        <v>5</v>
      </c>
      <c r="J11" s="6">
        <v>0</v>
      </c>
      <c r="K11" s="5">
        <v>0</v>
      </c>
      <c r="L11" s="6">
        <v>0</v>
      </c>
      <c r="M11" s="5">
        <v>0</v>
      </c>
      <c r="N11" s="6">
        <v>0</v>
      </c>
      <c r="O11" s="5">
        <v>0</v>
      </c>
      <c r="P11" s="6">
        <v>0</v>
      </c>
      <c r="Q11" s="5">
        <v>0</v>
      </c>
      <c r="R11" s="6">
        <v>0</v>
      </c>
      <c r="S11" s="5">
        <v>0</v>
      </c>
      <c r="T11" s="6">
        <v>0</v>
      </c>
      <c r="U11" s="5">
        <v>0</v>
      </c>
    </row>
    <row r="12" spans="1:21" ht="30.75" customHeight="1" x14ac:dyDescent="0.25">
      <c r="B12" s="17" t="s">
        <v>10</v>
      </c>
      <c r="C12" s="17"/>
      <c r="D12" s="17"/>
      <c r="E12" s="17"/>
      <c r="F12" s="17"/>
      <c r="G12" s="17"/>
      <c r="I12" s="5">
        <v>5</v>
      </c>
      <c r="J12" s="6">
        <v>0</v>
      </c>
      <c r="K12" s="5">
        <v>0</v>
      </c>
      <c r="L12" s="6">
        <v>0</v>
      </c>
      <c r="M12" s="5">
        <v>0</v>
      </c>
      <c r="N12" s="6">
        <v>0</v>
      </c>
      <c r="O12" s="5">
        <v>0</v>
      </c>
      <c r="P12" s="6">
        <v>0</v>
      </c>
      <c r="Q12" s="5">
        <v>0</v>
      </c>
      <c r="R12" s="6">
        <v>0</v>
      </c>
      <c r="S12" s="5">
        <v>0</v>
      </c>
      <c r="T12" s="6">
        <v>0</v>
      </c>
      <c r="U12" s="5">
        <v>0</v>
      </c>
    </row>
    <row r="13" spans="1:21" ht="15" customHeight="1" x14ac:dyDescent="0.25">
      <c r="B13" s="21"/>
      <c r="C13" s="21"/>
      <c r="D13" s="21"/>
      <c r="E13" s="21"/>
      <c r="F13" s="21"/>
      <c r="G13" s="21"/>
      <c r="I13" s="4"/>
      <c r="J13" s="4"/>
      <c r="K13" s="4"/>
      <c r="L13" s="4"/>
      <c r="M13" s="4"/>
      <c r="N13" s="4"/>
      <c r="O13" s="4"/>
      <c r="P13" s="4"/>
      <c r="Q13" s="4"/>
      <c r="R13" s="4"/>
      <c r="S13" s="4"/>
      <c r="T13" s="4"/>
      <c r="U13" s="4"/>
    </row>
    <row r="14" spans="1:21" ht="24.4" customHeight="1" x14ac:dyDescent="0.25">
      <c r="B14" s="19" t="s">
        <v>11</v>
      </c>
      <c r="C14" s="19"/>
      <c r="D14" s="19"/>
      <c r="E14" s="19"/>
      <c r="F14" s="19"/>
      <c r="G14" s="19"/>
      <c r="I14" s="4"/>
      <c r="J14" s="4"/>
      <c r="K14" s="4"/>
      <c r="L14" s="4"/>
      <c r="M14" s="4"/>
      <c r="N14" s="4"/>
      <c r="O14" s="4"/>
      <c r="P14" s="4"/>
      <c r="Q14" s="4"/>
      <c r="R14" s="4"/>
      <c r="S14" s="4"/>
      <c r="T14" s="4"/>
      <c r="U14" s="4"/>
    </row>
    <row r="15" spans="1:21" s="8" customFormat="1" ht="48" customHeight="1" x14ac:dyDescent="0.35">
      <c r="B15" s="17" t="s">
        <v>12</v>
      </c>
      <c r="C15" s="17"/>
      <c r="D15" s="17"/>
      <c r="E15" s="17"/>
      <c r="F15" s="17"/>
      <c r="G15" s="17"/>
      <c r="I15" s="5">
        <v>5</v>
      </c>
      <c r="J15" s="6">
        <v>0</v>
      </c>
      <c r="K15" s="5">
        <v>0</v>
      </c>
      <c r="L15" s="6">
        <v>0</v>
      </c>
      <c r="M15" s="5">
        <v>0</v>
      </c>
      <c r="N15" s="6">
        <v>0</v>
      </c>
      <c r="O15" s="5">
        <v>0</v>
      </c>
      <c r="P15" s="6">
        <v>0</v>
      </c>
      <c r="Q15" s="5">
        <v>0</v>
      </c>
      <c r="R15" s="6">
        <v>0</v>
      </c>
      <c r="S15" s="5">
        <v>0</v>
      </c>
      <c r="T15" s="6">
        <v>0</v>
      </c>
      <c r="U15" s="5">
        <v>0</v>
      </c>
    </row>
    <row r="16" spans="1:21" s="8" customFormat="1" ht="37.5" customHeight="1" x14ac:dyDescent="0.35">
      <c r="B16" s="17" t="s">
        <v>13</v>
      </c>
      <c r="C16" s="17"/>
      <c r="D16" s="17"/>
      <c r="E16" s="17"/>
      <c r="F16" s="17"/>
      <c r="G16" s="17"/>
      <c r="I16" s="5">
        <v>5</v>
      </c>
      <c r="J16" s="6">
        <v>0</v>
      </c>
      <c r="K16" s="5">
        <v>0</v>
      </c>
      <c r="L16" s="6">
        <v>0</v>
      </c>
      <c r="M16" s="5">
        <v>0</v>
      </c>
      <c r="N16" s="6">
        <v>0</v>
      </c>
      <c r="O16" s="5">
        <v>0</v>
      </c>
      <c r="P16" s="6">
        <v>0</v>
      </c>
      <c r="Q16" s="5">
        <v>0</v>
      </c>
      <c r="R16" s="6">
        <v>0</v>
      </c>
      <c r="S16" s="5">
        <v>0</v>
      </c>
      <c r="T16" s="6">
        <v>0</v>
      </c>
      <c r="U16" s="5">
        <v>0</v>
      </c>
    </row>
    <row r="17" spans="2:21" s="8" customFormat="1" ht="36.75" customHeight="1" x14ac:dyDescent="0.35">
      <c r="B17" s="17" t="s">
        <v>14</v>
      </c>
      <c r="C17" s="17"/>
      <c r="D17" s="17"/>
      <c r="E17" s="17"/>
      <c r="F17" s="17"/>
      <c r="G17" s="17"/>
      <c r="I17" s="5">
        <v>5</v>
      </c>
      <c r="J17" s="6">
        <v>0</v>
      </c>
      <c r="K17" s="5">
        <v>0</v>
      </c>
      <c r="L17" s="6">
        <v>0</v>
      </c>
      <c r="M17" s="5">
        <v>0</v>
      </c>
      <c r="N17" s="6">
        <v>0</v>
      </c>
      <c r="O17" s="5">
        <v>0</v>
      </c>
      <c r="P17" s="6">
        <v>0</v>
      </c>
      <c r="Q17" s="5">
        <v>0</v>
      </c>
      <c r="R17" s="6">
        <v>0</v>
      </c>
      <c r="S17" s="5">
        <v>0</v>
      </c>
      <c r="T17" s="6">
        <v>0</v>
      </c>
      <c r="U17" s="5">
        <v>0</v>
      </c>
    </row>
    <row r="18" spans="2:21" s="8" customFormat="1" ht="51.75" customHeight="1" x14ac:dyDescent="0.35">
      <c r="B18" s="17" t="s">
        <v>15</v>
      </c>
      <c r="C18" s="17"/>
      <c r="D18" s="17"/>
      <c r="E18" s="17"/>
      <c r="F18" s="17"/>
      <c r="G18" s="17"/>
      <c r="I18" s="5">
        <v>5</v>
      </c>
      <c r="J18" s="6">
        <v>0</v>
      </c>
      <c r="K18" s="5">
        <v>0</v>
      </c>
      <c r="L18" s="6">
        <v>0</v>
      </c>
      <c r="M18" s="5">
        <v>0</v>
      </c>
      <c r="N18" s="6">
        <v>0</v>
      </c>
      <c r="O18" s="5">
        <v>0</v>
      </c>
      <c r="P18" s="6">
        <v>0</v>
      </c>
      <c r="Q18" s="5">
        <v>0</v>
      </c>
      <c r="R18" s="6">
        <v>0</v>
      </c>
      <c r="S18" s="5">
        <v>0</v>
      </c>
      <c r="T18" s="6">
        <v>0</v>
      </c>
      <c r="U18" s="5">
        <v>0</v>
      </c>
    </row>
    <row r="19" spans="2:21" ht="15" customHeight="1" x14ac:dyDescent="0.25">
      <c r="B19" s="21"/>
      <c r="C19" s="21"/>
      <c r="D19" s="21"/>
      <c r="E19" s="21"/>
      <c r="F19" s="21"/>
      <c r="G19" s="21"/>
      <c r="I19" s="4"/>
      <c r="J19" s="4"/>
      <c r="K19" s="4"/>
      <c r="L19" s="4"/>
      <c r="M19" s="4"/>
      <c r="N19" s="4"/>
      <c r="O19" s="4"/>
      <c r="P19" s="4"/>
      <c r="Q19" s="4"/>
      <c r="R19" s="4"/>
      <c r="S19" s="4"/>
      <c r="T19" s="4"/>
      <c r="U19" s="4"/>
    </row>
    <row r="20" spans="2:21" ht="24.4" customHeight="1" x14ac:dyDescent="0.25">
      <c r="B20" s="19" t="s">
        <v>16</v>
      </c>
      <c r="C20" s="19"/>
      <c r="D20" s="19"/>
      <c r="E20" s="19"/>
      <c r="F20" s="19"/>
      <c r="G20" s="19"/>
      <c r="I20" s="4"/>
      <c r="J20" s="4"/>
      <c r="K20" s="4"/>
      <c r="L20" s="4"/>
      <c r="M20" s="4"/>
      <c r="N20" s="4"/>
      <c r="O20" s="4"/>
      <c r="P20" s="4"/>
      <c r="Q20" s="4"/>
      <c r="R20" s="4"/>
      <c r="S20" s="4"/>
      <c r="T20" s="4"/>
      <c r="U20" s="4"/>
    </row>
    <row r="21" spans="2:21" s="8" customFormat="1" ht="66" customHeight="1" x14ac:dyDescent="0.35">
      <c r="B21" s="17" t="s">
        <v>12</v>
      </c>
      <c r="C21" s="17"/>
      <c r="D21" s="17"/>
      <c r="E21" s="17"/>
      <c r="F21" s="17"/>
      <c r="G21" s="17"/>
      <c r="I21" s="5">
        <v>5</v>
      </c>
      <c r="J21" s="6">
        <v>0</v>
      </c>
      <c r="K21" s="5">
        <v>0</v>
      </c>
      <c r="L21" s="6">
        <v>0</v>
      </c>
      <c r="M21" s="5">
        <v>0</v>
      </c>
      <c r="N21" s="6">
        <v>0</v>
      </c>
      <c r="O21" s="5">
        <v>0</v>
      </c>
      <c r="P21" s="6">
        <v>0</v>
      </c>
      <c r="Q21" s="5">
        <v>0</v>
      </c>
      <c r="R21" s="6">
        <v>0</v>
      </c>
      <c r="S21" s="5">
        <v>0</v>
      </c>
      <c r="T21" s="6">
        <v>0</v>
      </c>
      <c r="U21" s="5">
        <v>0</v>
      </c>
    </row>
    <row r="22" spans="2:21" s="8" customFormat="1" ht="30" customHeight="1" x14ac:dyDescent="0.35">
      <c r="B22" s="17" t="s">
        <v>17</v>
      </c>
      <c r="C22" s="17"/>
      <c r="D22" s="17"/>
      <c r="E22" s="17"/>
      <c r="F22" s="17"/>
      <c r="G22" s="17"/>
      <c r="I22" s="5">
        <v>5</v>
      </c>
      <c r="J22" s="6">
        <v>0</v>
      </c>
      <c r="K22" s="5">
        <v>0</v>
      </c>
      <c r="L22" s="6">
        <v>0</v>
      </c>
      <c r="M22" s="5">
        <v>0</v>
      </c>
      <c r="N22" s="6">
        <v>0</v>
      </c>
      <c r="O22" s="5">
        <v>0</v>
      </c>
      <c r="P22" s="6">
        <v>0</v>
      </c>
      <c r="Q22" s="5">
        <v>0</v>
      </c>
      <c r="R22" s="6">
        <v>0</v>
      </c>
      <c r="S22" s="5">
        <v>0</v>
      </c>
      <c r="T22" s="6">
        <v>0</v>
      </c>
      <c r="U22" s="5">
        <v>0</v>
      </c>
    </row>
    <row r="23" spans="2:21" s="8" customFormat="1" ht="30" customHeight="1" x14ac:dyDescent="0.35">
      <c r="B23" s="17" t="s">
        <v>18</v>
      </c>
      <c r="C23" s="17"/>
      <c r="D23" s="17"/>
      <c r="E23" s="17"/>
      <c r="F23" s="17"/>
      <c r="G23" s="17"/>
      <c r="I23" s="5">
        <v>5</v>
      </c>
      <c r="J23" s="6">
        <v>0</v>
      </c>
      <c r="K23" s="5">
        <v>0</v>
      </c>
      <c r="L23" s="6">
        <v>0</v>
      </c>
      <c r="M23" s="5">
        <v>0</v>
      </c>
      <c r="N23" s="6">
        <v>0</v>
      </c>
      <c r="O23" s="5">
        <v>0</v>
      </c>
      <c r="P23" s="6">
        <v>0</v>
      </c>
      <c r="Q23" s="5">
        <v>0</v>
      </c>
      <c r="R23" s="6">
        <v>0</v>
      </c>
      <c r="S23" s="5">
        <v>0</v>
      </c>
      <c r="T23" s="6">
        <v>0</v>
      </c>
      <c r="U23" s="5">
        <v>0</v>
      </c>
    </row>
    <row r="24" spans="2:21" s="8" customFormat="1" ht="30" customHeight="1" x14ac:dyDescent="0.35">
      <c r="B24" s="17" t="s">
        <v>19</v>
      </c>
      <c r="C24" s="17"/>
      <c r="D24" s="17"/>
      <c r="E24" s="17"/>
      <c r="F24" s="17"/>
      <c r="G24" s="17"/>
      <c r="I24" s="5">
        <v>5</v>
      </c>
      <c r="J24" s="6">
        <v>0</v>
      </c>
      <c r="K24" s="5">
        <v>0</v>
      </c>
      <c r="L24" s="6">
        <v>0</v>
      </c>
      <c r="M24" s="5">
        <v>0</v>
      </c>
      <c r="N24" s="6">
        <v>0</v>
      </c>
      <c r="O24" s="5">
        <v>0</v>
      </c>
      <c r="P24" s="6">
        <v>0</v>
      </c>
      <c r="Q24" s="5">
        <v>0</v>
      </c>
      <c r="R24" s="6">
        <v>0</v>
      </c>
      <c r="S24" s="5">
        <v>0</v>
      </c>
      <c r="T24" s="6">
        <v>0</v>
      </c>
      <c r="U24" s="5">
        <v>0</v>
      </c>
    </row>
    <row r="25" spans="2:21" s="8" customFormat="1" ht="30" customHeight="1" x14ac:dyDescent="0.35">
      <c r="B25" s="17" t="s">
        <v>20</v>
      </c>
      <c r="C25" s="17"/>
      <c r="D25" s="17"/>
      <c r="E25" s="17"/>
      <c r="F25" s="17"/>
      <c r="G25" s="17"/>
      <c r="I25" s="5">
        <v>5</v>
      </c>
      <c r="J25" s="6">
        <v>0</v>
      </c>
      <c r="K25" s="5">
        <v>0</v>
      </c>
      <c r="L25" s="6">
        <v>0</v>
      </c>
      <c r="M25" s="5">
        <v>0</v>
      </c>
      <c r="N25" s="6">
        <v>0</v>
      </c>
      <c r="O25" s="5">
        <v>0</v>
      </c>
      <c r="P25" s="6">
        <v>0</v>
      </c>
      <c r="Q25" s="5">
        <v>0</v>
      </c>
      <c r="R25" s="6">
        <v>0</v>
      </c>
      <c r="S25" s="5">
        <v>0</v>
      </c>
      <c r="T25" s="6">
        <v>0</v>
      </c>
      <c r="U25" s="5">
        <v>0</v>
      </c>
    </row>
    <row r="26" spans="2:21" ht="30" customHeight="1" x14ac:dyDescent="0.25">
      <c r="B26" s="17" t="s">
        <v>21</v>
      </c>
      <c r="C26" s="17"/>
      <c r="D26" s="17"/>
      <c r="E26" s="17"/>
      <c r="F26" s="17"/>
      <c r="G26" s="17"/>
      <c r="I26" s="5"/>
      <c r="J26" s="6"/>
      <c r="K26" s="5"/>
      <c r="L26" s="6"/>
      <c r="M26" s="5"/>
      <c r="N26" s="6"/>
      <c r="O26" s="5"/>
      <c r="P26" s="6"/>
      <c r="Q26" s="5"/>
      <c r="R26" s="6"/>
      <c r="S26" s="5"/>
      <c r="T26" s="6"/>
      <c r="U26" s="5"/>
    </row>
    <row r="27" spans="2:21" ht="30" customHeight="1" x14ac:dyDescent="0.25">
      <c r="B27" s="17" t="s">
        <v>22</v>
      </c>
      <c r="C27" s="17"/>
      <c r="D27" s="17"/>
      <c r="E27" s="17"/>
      <c r="F27" s="17"/>
      <c r="G27" s="17"/>
      <c r="I27" s="5"/>
      <c r="J27" s="6"/>
      <c r="K27" s="5"/>
      <c r="L27" s="6"/>
      <c r="M27" s="5"/>
      <c r="N27" s="6"/>
      <c r="O27" s="5"/>
      <c r="P27" s="6"/>
      <c r="Q27" s="5"/>
      <c r="R27" s="6"/>
      <c r="S27" s="5"/>
      <c r="T27" s="6"/>
      <c r="U27" s="5"/>
    </row>
    <row r="28" spans="2:21" ht="15" customHeight="1" x14ac:dyDescent="0.25">
      <c r="B28" s="21"/>
      <c r="C28" s="21"/>
      <c r="D28" s="21"/>
      <c r="E28" s="21"/>
      <c r="F28" s="21"/>
      <c r="G28" s="21"/>
      <c r="I28" s="4"/>
      <c r="J28" s="4"/>
      <c r="K28" s="4"/>
      <c r="L28" s="4"/>
      <c r="M28" s="4"/>
      <c r="N28" s="4"/>
      <c r="O28" s="4"/>
      <c r="P28" s="4"/>
      <c r="Q28" s="4"/>
      <c r="R28" s="4"/>
      <c r="S28" s="4"/>
      <c r="T28" s="4"/>
      <c r="U28" s="4"/>
    </row>
    <row r="29" spans="2:21" ht="24.4" customHeight="1" x14ac:dyDescent="0.25">
      <c r="B29" s="19" t="s">
        <v>23</v>
      </c>
      <c r="C29" s="19"/>
      <c r="D29" s="19"/>
      <c r="E29" s="19"/>
      <c r="F29" s="19"/>
      <c r="G29" s="19"/>
      <c r="I29" s="4"/>
      <c r="J29" s="4"/>
      <c r="K29" s="4"/>
      <c r="L29" s="4"/>
      <c r="M29" s="4"/>
      <c r="N29" s="4"/>
      <c r="O29" s="4"/>
      <c r="P29" s="4"/>
      <c r="Q29" s="4"/>
      <c r="R29" s="4"/>
      <c r="S29" s="4"/>
      <c r="T29" s="4"/>
      <c r="U29" s="4"/>
    </row>
    <row r="30" spans="2:21" ht="48.75" customHeight="1" x14ac:dyDescent="0.25">
      <c r="B30" s="20" t="s">
        <v>24</v>
      </c>
      <c r="C30" s="20"/>
      <c r="D30" s="20"/>
      <c r="E30" s="20"/>
      <c r="F30" s="20"/>
      <c r="G30" s="20"/>
      <c r="I30" s="5">
        <v>5</v>
      </c>
      <c r="J30" s="6">
        <v>0</v>
      </c>
      <c r="K30" s="5">
        <v>0</v>
      </c>
      <c r="L30" s="6">
        <v>0</v>
      </c>
      <c r="M30" s="5">
        <v>0</v>
      </c>
      <c r="N30" s="6">
        <v>0</v>
      </c>
      <c r="O30" s="5">
        <v>0</v>
      </c>
      <c r="P30" s="6">
        <v>0</v>
      </c>
      <c r="Q30" s="5">
        <v>0</v>
      </c>
      <c r="R30" s="6">
        <v>0</v>
      </c>
      <c r="S30" s="5">
        <v>0</v>
      </c>
      <c r="T30" s="6">
        <v>0</v>
      </c>
      <c r="U30" s="5">
        <v>0</v>
      </c>
    </row>
    <row r="31" spans="2:21" ht="48.75" customHeight="1" x14ac:dyDescent="0.25">
      <c r="B31" s="17" t="s">
        <v>25</v>
      </c>
      <c r="C31" s="17"/>
      <c r="D31" s="17"/>
      <c r="E31" s="17"/>
      <c r="F31" s="17"/>
      <c r="G31" s="17"/>
      <c r="I31" s="5">
        <v>5</v>
      </c>
      <c r="J31" s="6">
        <v>0</v>
      </c>
      <c r="K31" s="5">
        <v>0</v>
      </c>
      <c r="L31" s="6">
        <v>0</v>
      </c>
      <c r="M31" s="5">
        <v>0</v>
      </c>
      <c r="N31" s="6">
        <v>0</v>
      </c>
      <c r="O31" s="5">
        <v>0</v>
      </c>
      <c r="P31" s="6">
        <v>0</v>
      </c>
      <c r="Q31" s="5">
        <v>0</v>
      </c>
      <c r="R31" s="6">
        <v>0</v>
      </c>
      <c r="S31" s="5">
        <v>0</v>
      </c>
      <c r="T31" s="6">
        <v>0</v>
      </c>
      <c r="U31" s="5">
        <v>0</v>
      </c>
    </row>
    <row r="32" spans="2:21" ht="72" customHeight="1" x14ac:dyDescent="0.25">
      <c r="B32" s="17" t="s">
        <v>26</v>
      </c>
      <c r="C32" s="17"/>
      <c r="D32" s="17"/>
      <c r="E32" s="17"/>
      <c r="F32" s="17"/>
      <c r="G32" s="17"/>
      <c r="I32" s="5">
        <v>5</v>
      </c>
      <c r="J32" s="6">
        <v>0</v>
      </c>
      <c r="K32" s="5">
        <v>0</v>
      </c>
      <c r="L32" s="6">
        <v>0</v>
      </c>
      <c r="M32" s="5">
        <v>0</v>
      </c>
      <c r="N32" s="6">
        <v>0</v>
      </c>
      <c r="O32" s="5">
        <v>0</v>
      </c>
      <c r="P32" s="6">
        <v>0</v>
      </c>
      <c r="Q32" s="5">
        <v>0</v>
      </c>
      <c r="R32" s="6">
        <v>0</v>
      </c>
      <c r="S32" s="5">
        <v>0</v>
      </c>
      <c r="T32" s="6">
        <v>0</v>
      </c>
      <c r="U32" s="5">
        <v>0</v>
      </c>
    </row>
    <row r="33" spans="2:21" ht="66.75" customHeight="1" x14ac:dyDescent="0.25">
      <c r="B33" s="17" t="s">
        <v>27</v>
      </c>
      <c r="C33" s="17"/>
      <c r="D33" s="17"/>
      <c r="E33" s="17"/>
      <c r="F33" s="17"/>
      <c r="G33" s="17"/>
      <c r="I33" s="5">
        <v>5</v>
      </c>
      <c r="J33" s="6">
        <v>0</v>
      </c>
      <c r="K33" s="5">
        <v>0</v>
      </c>
      <c r="L33" s="6">
        <v>0</v>
      </c>
      <c r="M33" s="5">
        <v>0</v>
      </c>
      <c r="N33" s="6">
        <v>0</v>
      </c>
      <c r="O33" s="5">
        <v>0</v>
      </c>
      <c r="P33" s="6">
        <v>0</v>
      </c>
      <c r="Q33" s="5">
        <v>0</v>
      </c>
      <c r="R33" s="6">
        <v>0</v>
      </c>
      <c r="S33" s="5">
        <v>0</v>
      </c>
      <c r="T33" s="6">
        <v>0</v>
      </c>
      <c r="U33" s="5">
        <v>0</v>
      </c>
    </row>
    <row r="34" spans="2:21" ht="66" customHeight="1" x14ac:dyDescent="0.25">
      <c r="B34" s="17" t="s">
        <v>28</v>
      </c>
      <c r="C34" s="17"/>
      <c r="D34" s="17"/>
      <c r="E34" s="17"/>
      <c r="F34" s="17"/>
      <c r="G34" s="17"/>
      <c r="I34" s="5">
        <v>5</v>
      </c>
      <c r="J34" s="6">
        <v>0</v>
      </c>
      <c r="K34" s="5">
        <v>0</v>
      </c>
      <c r="L34" s="6">
        <v>0</v>
      </c>
      <c r="M34" s="5">
        <v>0</v>
      </c>
      <c r="N34" s="6">
        <v>0</v>
      </c>
      <c r="O34" s="5">
        <v>0</v>
      </c>
      <c r="P34" s="6">
        <v>0</v>
      </c>
      <c r="Q34" s="5">
        <v>0</v>
      </c>
      <c r="R34" s="6">
        <v>0</v>
      </c>
      <c r="S34" s="5">
        <v>0</v>
      </c>
      <c r="T34" s="6">
        <v>0</v>
      </c>
      <c r="U34" s="5">
        <v>0</v>
      </c>
    </row>
    <row r="35" spans="2:21" ht="79.5" customHeight="1" x14ac:dyDescent="0.25">
      <c r="B35" s="17" t="s">
        <v>29</v>
      </c>
      <c r="C35" s="17"/>
      <c r="D35" s="17"/>
      <c r="E35" s="17"/>
      <c r="F35" s="17"/>
      <c r="G35" s="17"/>
      <c r="I35" s="5">
        <v>5</v>
      </c>
      <c r="J35" s="6">
        <v>0</v>
      </c>
      <c r="K35" s="5">
        <v>0</v>
      </c>
      <c r="L35" s="6">
        <v>0</v>
      </c>
      <c r="M35" s="5">
        <v>0</v>
      </c>
      <c r="N35" s="6">
        <v>0</v>
      </c>
      <c r="O35" s="5">
        <v>0</v>
      </c>
      <c r="P35" s="6">
        <v>0</v>
      </c>
      <c r="Q35" s="5">
        <v>0</v>
      </c>
      <c r="R35" s="6">
        <v>0</v>
      </c>
      <c r="S35" s="5">
        <v>0</v>
      </c>
      <c r="T35" s="6">
        <v>0</v>
      </c>
      <c r="U35" s="5">
        <v>0</v>
      </c>
    </row>
    <row r="36" spans="2:21" x14ac:dyDescent="0.25">
      <c r="B36" s="3"/>
      <c r="C36" s="3"/>
      <c r="D36" s="3"/>
      <c r="E36" s="3"/>
      <c r="F36" s="3"/>
      <c r="G36" s="3"/>
      <c r="I36" s="4"/>
      <c r="J36" s="4"/>
      <c r="K36" s="4"/>
      <c r="L36" s="4"/>
      <c r="M36" s="4"/>
      <c r="N36" s="4"/>
      <c r="O36" s="4"/>
      <c r="P36" s="4"/>
      <c r="Q36" s="4"/>
      <c r="R36" s="4"/>
      <c r="S36" s="4"/>
      <c r="T36" s="4"/>
      <c r="U36" s="4"/>
    </row>
    <row r="37" spans="2:21" ht="24.4" customHeight="1" x14ac:dyDescent="0.25">
      <c r="B37" s="19" t="s">
        <v>30</v>
      </c>
      <c r="C37" s="19"/>
      <c r="D37" s="19"/>
      <c r="E37" s="19"/>
      <c r="F37" s="19"/>
      <c r="G37" s="19"/>
      <c r="I37" s="4"/>
      <c r="J37" s="4"/>
      <c r="K37" s="4"/>
      <c r="L37" s="4"/>
      <c r="M37" s="4"/>
      <c r="N37" s="4"/>
      <c r="O37" s="4"/>
      <c r="P37" s="4"/>
      <c r="Q37" s="4"/>
      <c r="R37" s="4"/>
      <c r="S37" s="4"/>
      <c r="T37" s="4"/>
      <c r="U37" s="4"/>
    </row>
    <row r="38" spans="2:21" ht="54" customHeight="1" x14ac:dyDescent="0.25">
      <c r="B38" s="17" t="s">
        <v>24</v>
      </c>
      <c r="C38" s="17"/>
      <c r="D38" s="17"/>
      <c r="E38" s="17"/>
      <c r="F38" s="17"/>
      <c r="G38" s="17"/>
      <c r="I38" s="5">
        <v>5</v>
      </c>
      <c r="J38" s="6">
        <v>0</v>
      </c>
      <c r="K38" s="5">
        <v>0</v>
      </c>
      <c r="L38" s="6">
        <v>0</v>
      </c>
      <c r="M38" s="5">
        <v>0</v>
      </c>
      <c r="N38" s="6">
        <v>0</v>
      </c>
      <c r="O38" s="5">
        <v>0</v>
      </c>
      <c r="P38" s="6">
        <v>0</v>
      </c>
      <c r="Q38" s="5">
        <v>0</v>
      </c>
      <c r="R38" s="6">
        <v>0</v>
      </c>
      <c r="S38" s="5">
        <v>0</v>
      </c>
      <c r="T38" s="6">
        <v>0</v>
      </c>
      <c r="U38" s="5">
        <v>0</v>
      </c>
    </row>
    <row r="39" spans="2:21" ht="60" customHeight="1" x14ac:dyDescent="0.25">
      <c r="B39" s="17" t="s">
        <v>31</v>
      </c>
      <c r="C39" s="17"/>
      <c r="D39" s="17"/>
      <c r="E39" s="17"/>
      <c r="F39" s="17"/>
      <c r="G39" s="17"/>
      <c r="I39" s="5">
        <v>5</v>
      </c>
      <c r="J39" s="6">
        <v>0</v>
      </c>
      <c r="K39" s="5">
        <v>0</v>
      </c>
      <c r="L39" s="6">
        <v>0</v>
      </c>
      <c r="M39" s="5">
        <v>0</v>
      </c>
      <c r="N39" s="6">
        <v>0</v>
      </c>
      <c r="O39" s="5">
        <v>0</v>
      </c>
      <c r="P39" s="6">
        <v>0</v>
      </c>
      <c r="Q39" s="5">
        <v>0</v>
      </c>
      <c r="R39" s="6">
        <v>0</v>
      </c>
      <c r="S39" s="5">
        <v>0</v>
      </c>
      <c r="T39" s="6">
        <v>0</v>
      </c>
      <c r="U39" s="5">
        <v>0</v>
      </c>
    </row>
    <row r="40" spans="2:21" ht="49.5" customHeight="1" x14ac:dyDescent="0.25">
      <c r="B40" s="17" t="s">
        <v>32</v>
      </c>
      <c r="C40" s="17"/>
      <c r="D40" s="17"/>
      <c r="E40" s="17"/>
      <c r="F40" s="17"/>
      <c r="G40" s="17"/>
      <c r="I40" s="5">
        <v>5</v>
      </c>
      <c r="J40" s="6">
        <v>0</v>
      </c>
      <c r="K40" s="5">
        <v>0</v>
      </c>
      <c r="L40" s="6">
        <v>0</v>
      </c>
      <c r="M40" s="5">
        <v>0</v>
      </c>
      <c r="N40" s="6">
        <v>0</v>
      </c>
      <c r="O40" s="5">
        <v>0</v>
      </c>
      <c r="P40" s="6">
        <v>0</v>
      </c>
      <c r="Q40" s="5">
        <v>0</v>
      </c>
      <c r="R40" s="6">
        <v>0</v>
      </c>
      <c r="S40" s="5">
        <v>0</v>
      </c>
      <c r="T40" s="6">
        <v>0</v>
      </c>
      <c r="U40" s="5">
        <v>0</v>
      </c>
    </row>
    <row r="41" spans="2:21" ht="66" customHeight="1" x14ac:dyDescent="0.25">
      <c r="B41" s="17" t="s">
        <v>33</v>
      </c>
      <c r="C41" s="17"/>
      <c r="D41" s="17"/>
      <c r="E41" s="17"/>
      <c r="F41" s="17"/>
      <c r="G41" s="17"/>
      <c r="I41" s="5">
        <v>5</v>
      </c>
      <c r="J41" s="6">
        <v>0</v>
      </c>
      <c r="K41" s="5">
        <v>0</v>
      </c>
      <c r="L41" s="6">
        <v>0</v>
      </c>
      <c r="M41" s="5">
        <v>0</v>
      </c>
      <c r="N41" s="6">
        <v>0</v>
      </c>
      <c r="O41" s="5">
        <v>0</v>
      </c>
      <c r="P41" s="6">
        <v>0</v>
      </c>
      <c r="Q41" s="5">
        <v>0</v>
      </c>
      <c r="R41" s="6">
        <v>0</v>
      </c>
      <c r="S41" s="5">
        <v>0</v>
      </c>
      <c r="T41" s="6">
        <v>0</v>
      </c>
      <c r="U41" s="5">
        <v>0</v>
      </c>
    </row>
    <row r="42" spans="2:21" ht="71.25" customHeight="1" x14ac:dyDescent="0.25">
      <c r="B42" s="17" t="s">
        <v>34</v>
      </c>
      <c r="C42" s="17"/>
      <c r="D42" s="17"/>
      <c r="E42" s="17"/>
      <c r="F42" s="17"/>
      <c r="G42" s="17"/>
      <c r="I42" s="5">
        <v>5</v>
      </c>
      <c r="J42" s="6">
        <v>0</v>
      </c>
      <c r="K42" s="5">
        <v>0</v>
      </c>
      <c r="L42" s="6">
        <v>0</v>
      </c>
      <c r="M42" s="5">
        <v>0</v>
      </c>
      <c r="N42" s="6">
        <v>0</v>
      </c>
      <c r="O42" s="5">
        <v>0</v>
      </c>
      <c r="P42" s="6">
        <v>0</v>
      </c>
      <c r="Q42" s="5">
        <v>0</v>
      </c>
      <c r="R42" s="6">
        <v>0</v>
      </c>
      <c r="S42" s="5">
        <v>0</v>
      </c>
      <c r="T42" s="6">
        <v>0</v>
      </c>
      <c r="U42" s="5">
        <v>0</v>
      </c>
    </row>
    <row r="43" spans="2:21" ht="69.75" customHeight="1" x14ac:dyDescent="0.25">
      <c r="B43" s="17" t="s">
        <v>35</v>
      </c>
      <c r="C43" s="17"/>
      <c r="D43" s="17"/>
      <c r="E43" s="17"/>
      <c r="F43" s="17"/>
      <c r="G43" s="17"/>
      <c r="I43" s="5">
        <v>5</v>
      </c>
      <c r="J43" s="6">
        <v>0</v>
      </c>
      <c r="K43" s="5">
        <v>0</v>
      </c>
      <c r="L43" s="6">
        <v>0</v>
      </c>
      <c r="M43" s="5">
        <v>0</v>
      </c>
      <c r="N43" s="6">
        <v>0</v>
      </c>
      <c r="O43" s="5">
        <v>0</v>
      </c>
      <c r="P43" s="6">
        <v>0</v>
      </c>
      <c r="Q43" s="5">
        <v>0</v>
      </c>
      <c r="R43" s="6">
        <v>0</v>
      </c>
      <c r="S43" s="5">
        <v>0</v>
      </c>
      <c r="T43" s="6">
        <v>0</v>
      </c>
      <c r="U43" s="5">
        <v>0</v>
      </c>
    </row>
    <row r="44" spans="2:21" ht="99.75" customHeight="1" x14ac:dyDescent="0.25">
      <c r="B44" s="17" t="s">
        <v>36</v>
      </c>
      <c r="C44" s="17"/>
      <c r="D44" s="17"/>
      <c r="E44" s="17"/>
      <c r="F44" s="17"/>
      <c r="G44" s="17"/>
      <c r="I44" s="5">
        <v>5</v>
      </c>
      <c r="J44" s="6">
        <v>0</v>
      </c>
      <c r="K44" s="5">
        <v>0</v>
      </c>
      <c r="L44" s="6">
        <v>0</v>
      </c>
      <c r="M44" s="5">
        <v>0</v>
      </c>
      <c r="N44" s="6">
        <v>0</v>
      </c>
      <c r="O44" s="5">
        <v>0</v>
      </c>
      <c r="P44" s="6">
        <v>0</v>
      </c>
      <c r="Q44" s="5">
        <v>0</v>
      </c>
      <c r="R44" s="6">
        <v>0</v>
      </c>
      <c r="S44" s="5">
        <v>0</v>
      </c>
      <c r="T44" s="6">
        <v>0</v>
      </c>
      <c r="U44" s="5">
        <v>0</v>
      </c>
    </row>
    <row r="45" spans="2:21" ht="58.5" customHeight="1" x14ac:dyDescent="0.25">
      <c r="B45" s="17" t="s">
        <v>37</v>
      </c>
      <c r="C45" s="17"/>
      <c r="D45" s="17"/>
      <c r="E45" s="17"/>
      <c r="F45" s="17"/>
      <c r="G45" s="17"/>
      <c r="I45" s="5">
        <v>5</v>
      </c>
      <c r="J45" s="6">
        <v>0</v>
      </c>
      <c r="K45" s="5">
        <v>0</v>
      </c>
      <c r="L45" s="6">
        <v>0</v>
      </c>
      <c r="M45" s="5">
        <v>0</v>
      </c>
      <c r="N45" s="6">
        <v>0</v>
      </c>
      <c r="O45" s="5">
        <v>0</v>
      </c>
      <c r="P45" s="6">
        <v>0</v>
      </c>
      <c r="Q45" s="5">
        <v>0</v>
      </c>
      <c r="R45" s="6">
        <v>0</v>
      </c>
      <c r="S45" s="5">
        <v>0</v>
      </c>
      <c r="T45" s="6">
        <v>0</v>
      </c>
      <c r="U45" s="5">
        <v>0</v>
      </c>
    </row>
    <row r="46" spans="2:21" x14ac:dyDescent="0.25">
      <c r="B46" s="3"/>
      <c r="C46" s="3"/>
      <c r="D46" s="3"/>
      <c r="E46" s="3"/>
      <c r="F46" s="3"/>
      <c r="G46" s="3"/>
      <c r="I46" s="4"/>
      <c r="J46" s="4"/>
      <c r="K46" s="4"/>
      <c r="L46" s="4"/>
      <c r="M46" s="4"/>
      <c r="N46" s="4"/>
      <c r="O46" s="4"/>
      <c r="P46" s="4"/>
      <c r="Q46" s="4"/>
      <c r="R46" s="4"/>
      <c r="S46" s="4"/>
      <c r="T46" s="4"/>
      <c r="U46" s="4"/>
    </row>
    <row r="47" spans="2:21" ht="24.4" customHeight="1" x14ac:dyDescent="0.25">
      <c r="B47" s="19" t="s">
        <v>38</v>
      </c>
      <c r="C47" s="19"/>
      <c r="D47" s="19"/>
      <c r="E47" s="19"/>
      <c r="F47" s="19"/>
      <c r="G47" s="19"/>
      <c r="I47" s="4"/>
      <c r="J47" s="4"/>
      <c r="K47" s="4"/>
      <c r="L47" s="4"/>
      <c r="M47" s="4"/>
      <c r="N47" s="4"/>
      <c r="O47" s="4"/>
      <c r="P47" s="4"/>
      <c r="Q47" s="4"/>
      <c r="R47" s="4"/>
      <c r="S47" s="4"/>
      <c r="T47" s="4"/>
      <c r="U47" s="4"/>
    </row>
    <row r="48" spans="2:21" ht="65.25" customHeight="1" x14ac:dyDescent="0.25">
      <c r="B48" s="20" t="s">
        <v>24</v>
      </c>
      <c r="C48" s="20"/>
      <c r="D48" s="20"/>
      <c r="E48" s="20"/>
      <c r="F48" s="20"/>
      <c r="G48" s="20"/>
      <c r="I48" s="5">
        <v>5</v>
      </c>
      <c r="J48" s="6">
        <v>0</v>
      </c>
      <c r="K48" s="5">
        <v>0</v>
      </c>
      <c r="L48" s="6">
        <v>0</v>
      </c>
      <c r="M48" s="5">
        <v>0</v>
      </c>
      <c r="N48" s="6">
        <v>0</v>
      </c>
      <c r="O48" s="5">
        <v>0</v>
      </c>
      <c r="P48" s="6">
        <v>0</v>
      </c>
      <c r="Q48" s="5">
        <v>0</v>
      </c>
      <c r="R48" s="6">
        <v>0</v>
      </c>
      <c r="S48" s="5">
        <v>0</v>
      </c>
      <c r="T48" s="6">
        <v>0</v>
      </c>
      <c r="U48" s="5">
        <v>0</v>
      </c>
    </row>
    <row r="49" spans="2:21" ht="101.25" customHeight="1" x14ac:dyDescent="0.25">
      <c r="B49" s="17" t="s">
        <v>39</v>
      </c>
      <c r="C49" s="17"/>
      <c r="D49" s="17"/>
      <c r="E49" s="17"/>
      <c r="F49" s="17"/>
      <c r="G49" s="17"/>
      <c r="I49" s="5">
        <v>5</v>
      </c>
      <c r="J49" s="6">
        <v>0</v>
      </c>
      <c r="K49" s="5">
        <v>0</v>
      </c>
      <c r="L49" s="6">
        <v>0</v>
      </c>
      <c r="M49" s="5">
        <v>0</v>
      </c>
      <c r="N49" s="6">
        <v>0</v>
      </c>
      <c r="O49" s="5">
        <v>0</v>
      </c>
      <c r="P49" s="6">
        <v>0</v>
      </c>
      <c r="Q49" s="5">
        <v>0</v>
      </c>
      <c r="R49" s="6">
        <v>0</v>
      </c>
      <c r="S49" s="5">
        <v>0</v>
      </c>
      <c r="T49" s="6">
        <v>0</v>
      </c>
      <c r="U49" s="5">
        <v>0</v>
      </c>
    </row>
    <row r="50" spans="2:21" ht="47.25" customHeight="1" x14ac:dyDescent="0.25">
      <c r="B50" s="17" t="s">
        <v>40</v>
      </c>
      <c r="C50" s="17"/>
      <c r="D50" s="17"/>
      <c r="E50" s="17"/>
      <c r="F50" s="17"/>
      <c r="G50" s="17"/>
      <c r="I50" s="5">
        <v>5</v>
      </c>
      <c r="J50" s="6">
        <v>0</v>
      </c>
      <c r="K50" s="5">
        <v>0</v>
      </c>
      <c r="L50" s="6">
        <v>0</v>
      </c>
      <c r="M50" s="5">
        <v>0</v>
      </c>
      <c r="N50" s="6">
        <v>0</v>
      </c>
      <c r="O50" s="5">
        <v>0</v>
      </c>
      <c r="P50" s="6">
        <v>0</v>
      </c>
      <c r="Q50" s="5">
        <v>0</v>
      </c>
      <c r="R50" s="6">
        <v>0</v>
      </c>
      <c r="S50" s="5">
        <v>0</v>
      </c>
      <c r="T50" s="6">
        <v>0</v>
      </c>
      <c r="U50" s="5">
        <v>0</v>
      </c>
    </row>
    <row r="51" spans="2:21" ht="84.75" customHeight="1" x14ac:dyDescent="0.25">
      <c r="B51" s="17" t="s">
        <v>41</v>
      </c>
      <c r="C51" s="17"/>
      <c r="D51" s="17"/>
      <c r="E51" s="17"/>
      <c r="F51" s="17"/>
      <c r="G51" s="17"/>
      <c r="I51" s="5">
        <v>5</v>
      </c>
      <c r="J51" s="6">
        <v>0</v>
      </c>
      <c r="K51" s="5">
        <v>0</v>
      </c>
      <c r="L51" s="6">
        <v>0</v>
      </c>
      <c r="M51" s="5">
        <v>0</v>
      </c>
      <c r="N51" s="6">
        <v>0</v>
      </c>
      <c r="O51" s="5">
        <v>0</v>
      </c>
      <c r="P51" s="6">
        <v>0</v>
      </c>
      <c r="Q51" s="5">
        <v>0</v>
      </c>
      <c r="R51" s="6">
        <v>0</v>
      </c>
      <c r="S51" s="5">
        <v>0</v>
      </c>
      <c r="T51" s="6">
        <v>0</v>
      </c>
      <c r="U51" s="5">
        <v>0</v>
      </c>
    </row>
    <row r="52" spans="2:21" x14ac:dyDescent="0.25">
      <c r="B52" s="3"/>
      <c r="C52" s="3"/>
      <c r="D52" s="3"/>
      <c r="E52" s="3"/>
      <c r="F52" s="3"/>
      <c r="G52" s="3"/>
      <c r="I52" s="4"/>
      <c r="J52" s="4"/>
      <c r="K52" s="4"/>
      <c r="L52" s="4"/>
      <c r="M52" s="4"/>
      <c r="N52" s="4"/>
      <c r="O52" s="4"/>
      <c r="P52" s="4"/>
      <c r="Q52" s="4"/>
      <c r="R52" s="4"/>
      <c r="S52" s="4"/>
      <c r="T52" s="4"/>
      <c r="U52" s="4"/>
    </row>
    <row r="53" spans="2:21" ht="24.4" customHeight="1" x14ac:dyDescent="0.25">
      <c r="B53" s="19" t="s">
        <v>42</v>
      </c>
      <c r="C53" s="19"/>
      <c r="D53" s="19"/>
      <c r="E53" s="19"/>
      <c r="F53" s="19"/>
      <c r="G53" s="19"/>
      <c r="I53" s="4"/>
      <c r="J53" s="4"/>
      <c r="K53" s="4"/>
      <c r="L53" s="4"/>
      <c r="M53" s="4"/>
      <c r="N53" s="4"/>
      <c r="O53" s="4"/>
      <c r="P53" s="4"/>
      <c r="Q53" s="4"/>
      <c r="R53" s="4"/>
      <c r="S53" s="4"/>
      <c r="T53" s="4"/>
      <c r="U53" s="4"/>
    </row>
    <row r="54" spans="2:21" ht="62.25" customHeight="1" x14ac:dyDescent="0.25">
      <c r="B54" s="17" t="s">
        <v>12</v>
      </c>
      <c r="C54" s="17"/>
      <c r="D54" s="17"/>
      <c r="E54" s="17"/>
      <c r="F54" s="17"/>
      <c r="G54" s="17"/>
      <c r="I54" s="5">
        <v>5</v>
      </c>
      <c r="J54" s="6">
        <v>0</v>
      </c>
      <c r="K54" s="5">
        <v>0</v>
      </c>
      <c r="L54" s="6">
        <v>0</v>
      </c>
      <c r="M54" s="5">
        <v>0</v>
      </c>
      <c r="N54" s="6">
        <v>0</v>
      </c>
      <c r="O54" s="5">
        <v>0</v>
      </c>
      <c r="P54" s="6">
        <v>0</v>
      </c>
      <c r="Q54" s="5">
        <v>0</v>
      </c>
      <c r="R54" s="6">
        <v>0</v>
      </c>
      <c r="S54" s="5">
        <v>0</v>
      </c>
      <c r="T54" s="6">
        <v>0</v>
      </c>
      <c r="U54" s="5">
        <v>0</v>
      </c>
    </row>
    <row r="55" spans="2:21" ht="60" customHeight="1" x14ac:dyDescent="0.25">
      <c r="B55" s="17" t="s">
        <v>43</v>
      </c>
      <c r="C55" s="17"/>
      <c r="D55" s="17"/>
      <c r="E55" s="17"/>
      <c r="F55" s="17"/>
      <c r="G55" s="17"/>
      <c r="I55" s="5">
        <v>5</v>
      </c>
      <c r="J55" s="6">
        <v>0</v>
      </c>
      <c r="K55" s="5">
        <v>0</v>
      </c>
      <c r="L55" s="6">
        <v>0</v>
      </c>
      <c r="M55" s="5">
        <v>0</v>
      </c>
      <c r="N55" s="6">
        <v>0</v>
      </c>
      <c r="O55" s="5">
        <v>0</v>
      </c>
      <c r="P55" s="6">
        <v>0</v>
      </c>
      <c r="Q55" s="5">
        <v>0</v>
      </c>
      <c r="R55" s="6">
        <v>0</v>
      </c>
      <c r="S55" s="5">
        <v>0</v>
      </c>
      <c r="T55" s="6">
        <v>0</v>
      </c>
      <c r="U55" s="5">
        <v>0</v>
      </c>
    </row>
    <row r="56" spans="2:21" ht="42.75" customHeight="1" x14ac:dyDescent="0.25">
      <c r="B56" s="17" t="s">
        <v>44</v>
      </c>
      <c r="C56" s="17"/>
      <c r="D56" s="17"/>
      <c r="E56" s="17"/>
      <c r="F56" s="17"/>
      <c r="G56" s="17"/>
      <c r="I56" s="5">
        <v>5</v>
      </c>
      <c r="J56" s="6">
        <v>0</v>
      </c>
      <c r="K56" s="5">
        <v>0</v>
      </c>
      <c r="L56" s="6">
        <v>0</v>
      </c>
      <c r="M56" s="5">
        <v>0</v>
      </c>
      <c r="N56" s="6">
        <v>0</v>
      </c>
      <c r="O56" s="5">
        <v>0</v>
      </c>
      <c r="P56" s="6">
        <v>0</v>
      </c>
      <c r="Q56" s="5">
        <v>0</v>
      </c>
      <c r="R56" s="6">
        <v>0</v>
      </c>
      <c r="S56" s="5">
        <v>0</v>
      </c>
      <c r="T56" s="6">
        <v>0</v>
      </c>
      <c r="U56" s="5">
        <v>0</v>
      </c>
    </row>
    <row r="57" spans="2:21" ht="57.75" customHeight="1" x14ac:dyDescent="0.25">
      <c r="B57" s="17" t="s">
        <v>45</v>
      </c>
      <c r="C57" s="17"/>
      <c r="D57" s="17"/>
      <c r="E57" s="17"/>
      <c r="F57" s="17"/>
      <c r="G57" s="17"/>
      <c r="I57" s="5">
        <v>5</v>
      </c>
      <c r="J57" s="6">
        <v>0</v>
      </c>
      <c r="K57" s="5">
        <v>0</v>
      </c>
      <c r="L57" s="6">
        <v>0</v>
      </c>
      <c r="M57" s="5">
        <v>0</v>
      </c>
      <c r="N57" s="6">
        <v>0</v>
      </c>
      <c r="O57" s="5">
        <v>0</v>
      </c>
      <c r="P57" s="6">
        <v>0</v>
      </c>
      <c r="Q57" s="5">
        <v>0</v>
      </c>
      <c r="R57" s="6">
        <v>0</v>
      </c>
      <c r="S57" s="5">
        <v>0</v>
      </c>
      <c r="T57" s="6">
        <v>0</v>
      </c>
      <c r="U57" s="5">
        <v>0</v>
      </c>
    </row>
    <row r="58" spans="2:21" ht="57.75" customHeight="1" x14ac:dyDescent="0.25">
      <c r="B58" s="17" t="s">
        <v>46</v>
      </c>
      <c r="C58" s="17"/>
      <c r="D58" s="17"/>
      <c r="E58" s="17"/>
      <c r="F58" s="17"/>
      <c r="G58" s="17"/>
      <c r="I58" s="5">
        <v>5</v>
      </c>
      <c r="J58" s="6">
        <v>0</v>
      </c>
      <c r="K58" s="5">
        <v>0</v>
      </c>
      <c r="L58" s="6">
        <v>0</v>
      </c>
      <c r="M58" s="5">
        <v>0</v>
      </c>
      <c r="N58" s="6">
        <v>0</v>
      </c>
      <c r="O58" s="5">
        <v>0</v>
      </c>
      <c r="P58" s="6">
        <v>0</v>
      </c>
      <c r="Q58" s="5">
        <v>0</v>
      </c>
      <c r="R58" s="6">
        <v>0</v>
      </c>
      <c r="S58" s="5">
        <v>0</v>
      </c>
      <c r="T58" s="6">
        <v>0</v>
      </c>
      <c r="U58" s="5">
        <v>0</v>
      </c>
    </row>
    <row r="59" spans="2:21" ht="48.75" customHeight="1" x14ac:dyDescent="0.25">
      <c r="B59" s="17" t="s">
        <v>47</v>
      </c>
      <c r="C59" s="17"/>
      <c r="D59" s="17"/>
      <c r="E59" s="17"/>
      <c r="F59" s="17"/>
      <c r="G59" s="17"/>
      <c r="I59" s="5">
        <v>5</v>
      </c>
      <c r="J59" s="6">
        <v>0</v>
      </c>
      <c r="K59" s="5">
        <v>0</v>
      </c>
      <c r="L59" s="6">
        <v>0</v>
      </c>
      <c r="M59" s="5">
        <v>0</v>
      </c>
      <c r="N59" s="6">
        <v>0</v>
      </c>
      <c r="O59" s="5">
        <v>0</v>
      </c>
      <c r="P59" s="6">
        <v>0</v>
      </c>
      <c r="Q59" s="5">
        <v>0</v>
      </c>
      <c r="R59" s="6">
        <v>0</v>
      </c>
      <c r="S59" s="5">
        <v>0</v>
      </c>
      <c r="T59" s="6">
        <v>0</v>
      </c>
      <c r="U59" s="5">
        <v>0</v>
      </c>
    </row>
    <row r="60" spans="2:21" x14ac:dyDescent="0.25">
      <c r="B60" s="3"/>
      <c r="C60" s="3"/>
      <c r="D60" s="3"/>
      <c r="E60" s="3"/>
      <c r="F60" s="3"/>
      <c r="G60" s="3"/>
      <c r="I60" s="4"/>
      <c r="J60" s="4"/>
      <c r="K60" s="4"/>
      <c r="L60" s="4"/>
      <c r="M60" s="4"/>
      <c r="N60" s="4"/>
      <c r="O60" s="4"/>
      <c r="P60" s="4"/>
      <c r="Q60" s="4"/>
      <c r="R60" s="4"/>
      <c r="S60" s="4"/>
      <c r="T60" s="4"/>
      <c r="U60" s="4"/>
    </row>
    <row r="61" spans="2:21" ht="24.4" customHeight="1" x14ac:dyDescent="0.25">
      <c r="B61" s="19" t="s">
        <v>48</v>
      </c>
      <c r="C61" s="19"/>
      <c r="D61" s="19"/>
      <c r="E61" s="19"/>
      <c r="F61" s="19"/>
      <c r="G61" s="19"/>
      <c r="I61" s="4"/>
      <c r="J61" s="4"/>
      <c r="K61" s="4"/>
      <c r="L61" s="4"/>
      <c r="M61" s="4"/>
      <c r="N61" s="4"/>
      <c r="O61" s="4"/>
      <c r="P61" s="4"/>
      <c r="Q61" s="4"/>
      <c r="R61" s="4"/>
      <c r="S61" s="4"/>
      <c r="T61" s="4"/>
      <c r="U61" s="4"/>
    </row>
    <row r="62" spans="2:21" ht="83.25" customHeight="1" x14ac:dyDescent="0.25">
      <c r="B62" s="17" t="s">
        <v>49</v>
      </c>
      <c r="C62" s="17"/>
      <c r="D62" s="17"/>
      <c r="E62" s="17"/>
      <c r="F62" s="17"/>
      <c r="G62" s="17"/>
      <c r="I62" s="5">
        <v>5</v>
      </c>
      <c r="J62" s="6">
        <v>0</v>
      </c>
      <c r="K62" s="5">
        <v>0</v>
      </c>
      <c r="L62" s="6">
        <v>0</v>
      </c>
      <c r="M62" s="5">
        <v>0</v>
      </c>
      <c r="N62" s="6">
        <v>0</v>
      </c>
      <c r="O62" s="5">
        <v>0</v>
      </c>
      <c r="P62" s="6">
        <v>0</v>
      </c>
      <c r="Q62" s="5">
        <v>0</v>
      </c>
      <c r="R62" s="6">
        <v>0</v>
      </c>
      <c r="S62" s="5">
        <v>0</v>
      </c>
      <c r="T62" s="6">
        <v>0</v>
      </c>
      <c r="U62" s="5">
        <v>0</v>
      </c>
    </row>
    <row r="63" spans="2:21" ht="78.75" customHeight="1" x14ac:dyDescent="0.25">
      <c r="B63" s="17" t="s">
        <v>50</v>
      </c>
      <c r="C63" s="17"/>
      <c r="D63" s="17"/>
      <c r="E63" s="17"/>
      <c r="F63" s="17"/>
      <c r="G63" s="17"/>
      <c r="I63" s="5">
        <v>5</v>
      </c>
      <c r="J63" s="6">
        <v>0</v>
      </c>
      <c r="K63" s="5">
        <v>0</v>
      </c>
      <c r="L63" s="6">
        <v>0</v>
      </c>
      <c r="M63" s="5">
        <v>0</v>
      </c>
      <c r="N63" s="6">
        <v>0</v>
      </c>
      <c r="O63" s="5">
        <v>0</v>
      </c>
      <c r="P63" s="6">
        <v>0</v>
      </c>
      <c r="Q63" s="5">
        <v>0</v>
      </c>
      <c r="R63" s="6">
        <v>0</v>
      </c>
      <c r="S63" s="5">
        <v>0</v>
      </c>
      <c r="T63" s="6">
        <v>0</v>
      </c>
      <c r="U63" s="5">
        <v>0</v>
      </c>
    </row>
    <row r="64" spans="2:21" ht="57.75" customHeight="1" x14ac:dyDescent="0.25">
      <c r="B64" s="17" t="s">
        <v>51</v>
      </c>
      <c r="C64" s="17"/>
      <c r="D64" s="17"/>
      <c r="E64" s="17"/>
      <c r="F64" s="17"/>
      <c r="G64" s="17"/>
      <c r="I64" s="5">
        <v>5</v>
      </c>
      <c r="J64" s="6">
        <v>0</v>
      </c>
      <c r="K64" s="5">
        <v>0</v>
      </c>
      <c r="L64" s="6">
        <v>0</v>
      </c>
      <c r="M64" s="5">
        <v>0</v>
      </c>
      <c r="N64" s="6">
        <v>0</v>
      </c>
      <c r="O64" s="5">
        <v>0</v>
      </c>
      <c r="P64" s="6">
        <v>0</v>
      </c>
      <c r="Q64" s="5">
        <v>0</v>
      </c>
      <c r="R64" s="6">
        <v>0</v>
      </c>
      <c r="S64" s="5">
        <v>0</v>
      </c>
      <c r="T64" s="6">
        <v>0</v>
      </c>
      <c r="U64" s="5">
        <v>0</v>
      </c>
    </row>
    <row r="65" spans="1:21" ht="64.5" customHeight="1" x14ac:dyDescent="0.25">
      <c r="A65" s="7"/>
      <c r="B65" s="17" t="s">
        <v>52</v>
      </c>
      <c r="C65" s="17"/>
      <c r="D65" s="17"/>
      <c r="E65" s="17"/>
      <c r="F65" s="17"/>
      <c r="G65" s="17"/>
      <c r="I65" s="5">
        <v>5</v>
      </c>
      <c r="J65" s="6">
        <v>0</v>
      </c>
      <c r="K65" s="5">
        <v>0</v>
      </c>
      <c r="L65" s="6">
        <v>0</v>
      </c>
      <c r="M65" s="5">
        <v>0</v>
      </c>
      <c r="N65" s="6">
        <v>0</v>
      </c>
      <c r="O65" s="5">
        <v>0</v>
      </c>
      <c r="P65" s="6">
        <v>0</v>
      </c>
      <c r="Q65" s="5">
        <v>0</v>
      </c>
      <c r="R65" s="6">
        <v>0</v>
      </c>
      <c r="S65" s="5">
        <v>0</v>
      </c>
      <c r="T65" s="6">
        <v>0</v>
      </c>
      <c r="U65" s="5">
        <v>0</v>
      </c>
    </row>
    <row r="66" spans="1:21" ht="61.5" customHeight="1" x14ac:dyDescent="0.25">
      <c r="B66" s="18" t="s">
        <v>53</v>
      </c>
      <c r="C66" s="18"/>
      <c r="D66" s="18"/>
      <c r="E66" s="18"/>
      <c r="F66" s="18"/>
      <c r="G66" s="18"/>
      <c r="I66" s="5">
        <v>5</v>
      </c>
      <c r="J66" s="6">
        <v>0</v>
      </c>
      <c r="K66" s="5">
        <v>0</v>
      </c>
      <c r="L66" s="6">
        <v>0</v>
      </c>
      <c r="M66" s="5">
        <v>0</v>
      </c>
      <c r="N66" s="6">
        <v>0</v>
      </c>
      <c r="O66" s="5">
        <v>0</v>
      </c>
      <c r="P66" s="6">
        <v>0</v>
      </c>
      <c r="Q66" s="5">
        <v>0</v>
      </c>
      <c r="R66" s="6">
        <v>0</v>
      </c>
      <c r="S66" s="5">
        <v>0</v>
      </c>
      <c r="T66" s="6">
        <v>0</v>
      </c>
      <c r="U66" s="5">
        <v>0</v>
      </c>
    </row>
    <row r="67" spans="1:21" ht="52.5" customHeight="1" x14ac:dyDescent="0.25">
      <c r="B67" s="17" t="s">
        <v>54</v>
      </c>
      <c r="C67" s="17"/>
      <c r="D67" s="17"/>
      <c r="E67" s="17"/>
      <c r="F67" s="17"/>
      <c r="G67" s="17"/>
      <c r="I67" s="5">
        <v>5</v>
      </c>
      <c r="J67" s="6">
        <v>0</v>
      </c>
      <c r="K67" s="5">
        <v>0</v>
      </c>
      <c r="L67" s="6">
        <v>0</v>
      </c>
      <c r="M67" s="5">
        <v>0</v>
      </c>
      <c r="N67" s="6">
        <v>0</v>
      </c>
      <c r="O67" s="5">
        <v>0</v>
      </c>
      <c r="P67" s="6">
        <v>0</v>
      </c>
      <c r="Q67" s="5">
        <v>0</v>
      </c>
      <c r="R67" s="6">
        <v>0</v>
      </c>
      <c r="S67" s="5">
        <v>0</v>
      </c>
      <c r="T67" s="6">
        <v>0</v>
      </c>
      <c r="U67" s="5">
        <v>0</v>
      </c>
    </row>
    <row r="68" spans="1:21" x14ac:dyDescent="0.25">
      <c r="B68" s="3"/>
      <c r="C68" s="3"/>
      <c r="D68" s="3"/>
      <c r="E68" s="3"/>
      <c r="F68" s="3"/>
      <c r="G68" s="3"/>
      <c r="I68" s="4"/>
      <c r="J68" s="4"/>
      <c r="K68" s="4"/>
      <c r="L68" s="4"/>
      <c r="M68" s="4"/>
      <c r="N68" s="4"/>
      <c r="O68" s="4"/>
      <c r="P68" s="4"/>
      <c r="Q68" s="4"/>
      <c r="R68" s="4"/>
      <c r="S68" s="4"/>
      <c r="T68" s="4"/>
      <c r="U68" s="4"/>
    </row>
    <row r="69" spans="1:21" ht="24.4" customHeight="1" x14ac:dyDescent="0.25">
      <c r="B69" s="19" t="s">
        <v>55</v>
      </c>
      <c r="C69" s="19"/>
      <c r="D69" s="19"/>
      <c r="E69" s="19"/>
      <c r="F69" s="19"/>
      <c r="G69" s="19"/>
      <c r="J69" s="4"/>
      <c r="K69" s="4"/>
      <c r="N69" s="4"/>
      <c r="O69" s="4"/>
      <c r="Q69" s="4"/>
      <c r="R69" s="4"/>
      <c r="U69" s="4"/>
    </row>
    <row r="70" spans="1:21" ht="64.5" customHeight="1" x14ac:dyDescent="0.25">
      <c r="B70" s="17" t="s">
        <v>56</v>
      </c>
      <c r="C70" s="17"/>
      <c r="D70" s="17"/>
      <c r="E70" s="17"/>
      <c r="F70" s="17"/>
      <c r="G70" s="17"/>
      <c r="I70" s="5">
        <v>5</v>
      </c>
      <c r="J70" s="6">
        <v>0</v>
      </c>
      <c r="K70" s="5">
        <v>0</v>
      </c>
      <c r="L70" s="6">
        <v>0</v>
      </c>
      <c r="M70" s="5">
        <v>0</v>
      </c>
      <c r="N70" s="6">
        <v>0</v>
      </c>
      <c r="O70" s="5">
        <v>0</v>
      </c>
      <c r="P70" s="6">
        <v>0</v>
      </c>
      <c r="Q70" s="5">
        <v>0</v>
      </c>
      <c r="R70" s="6">
        <v>0</v>
      </c>
      <c r="S70" s="5">
        <v>0</v>
      </c>
      <c r="T70" s="6">
        <v>0</v>
      </c>
      <c r="U70" s="5">
        <v>0</v>
      </c>
    </row>
    <row r="71" spans="1:21" ht="51" customHeight="1" x14ac:dyDescent="0.25">
      <c r="B71" s="17" t="s">
        <v>57</v>
      </c>
      <c r="C71" s="17"/>
      <c r="D71" s="17"/>
      <c r="E71" s="17"/>
      <c r="F71" s="17"/>
      <c r="G71" s="17"/>
      <c r="I71" s="5">
        <v>5</v>
      </c>
      <c r="J71" s="6">
        <v>0</v>
      </c>
      <c r="K71" s="5">
        <v>0</v>
      </c>
      <c r="L71" s="6">
        <v>0</v>
      </c>
      <c r="M71" s="5">
        <v>0</v>
      </c>
      <c r="N71" s="6">
        <v>0</v>
      </c>
      <c r="O71" s="5">
        <v>0</v>
      </c>
      <c r="P71" s="6">
        <v>0</v>
      </c>
      <c r="Q71" s="5">
        <v>0</v>
      </c>
      <c r="R71" s="6">
        <v>0</v>
      </c>
      <c r="S71" s="5">
        <v>0</v>
      </c>
      <c r="T71" s="6">
        <v>0</v>
      </c>
      <c r="U71" s="5">
        <v>0</v>
      </c>
    </row>
    <row r="72" spans="1:21" ht="52.5" customHeight="1" x14ac:dyDescent="0.25">
      <c r="B72" s="17" t="s">
        <v>58</v>
      </c>
      <c r="C72" s="17"/>
      <c r="D72" s="17"/>
      <c r="E72" s="17"/>
      <c r="F72" s="17"/>
      <c r="G72" s="17"/>
      <c r="I72" s="5">
        <v>5</v>
      </c>
      <c r="J72" s="6">
        <v>0</v>
      </c>
      <c r="K72" s="5">
        <v>0</v>
      </c>
      <c r="L72" s="6">
        <v>0</v>
      </c>
      <c r="M72" s="5">
        <v>0</v>
      </c>
      <c r="N72" s="6">
        <v>0</v>
      </c>
      <c r="O72" s="5">
        <v>0</v>
      </c>
      <c r="P72" s="6">
        <v>0</v>
      </c>
      <c r="Q72" s="5">
        <v>0</v>
      </c>
      <c r="R72" s="6">
        <v>0</v>
      </c>
      <c r="S72" s="5">
        <v>0</v>
      </c>
      <c r="T72" s="6">
        <v>0</v>
      </c>
      <c r="U72" s="5">
        <v>0</v>
      </c>
    </row>
    <row r="73" spans="1:21" x14ac:dyDescent="0.25">
      <c r="B73" s="3"/>
      <c r="C73" s="3"/>
      <c r="D73" s="3"/>
      <c r="E73" s="3"/>
      <c r="F73" s="3"/>
      <c r="G73" s="3"/>
      <c r="I73" s="4"/>
      <c r="J73" s="4"/>
      <c r="K73" s="4"/>
      <c r="L73" s="4"/>
      <c r="M73" s="4"/>
      <c r="N73" s="4"/>
      <c r="O73" s="4"/>
      <c r="P73" s="4"/>
      <c r="Q73" s="4"/>
      <c r="R73" s="4"/>
      <c r="S73" s="4"/>
      <c r="T73" s="4"/>
      <c r="U73" s="4"/>
    </row>
    <row r="74" spans="1:21" ht="26.25" x14ac:dyDescent="0.25">
      <c r="B74" s="15" t="str">
        <f>B6</f>
        <v>CÓDIGO FUENTE (20%)</v>
      </c>
      <c r="C74" s="15"/>
      <c r="D74" s="15"/>
      <c r="E74" s="15"/>
      <c r="F74" s="15"/>
      <c r="G74" s="15"/>
      <c r="I74" s="9">
        <f t="shared" ref="I74:U74" si="0">AVERAGE(I7:I12)*100/5</f>
        <v>100</v>
      </c>
      <c r="J74" s="10">
        <f t="shared" si="0"/>
        <v>0</v>
      </c>
      <c r="K74" s="11">
        <f t="shared" si="0"/>
        <v>0</v>
      </c>
      <c r="L74" s="10">
        <f t="shared" si="0"/>
        <v>0</v>
      </c>
      <c r="M74" s="11">
        <f t="shared" si="0"/>
        <v>0</v>
      </c>
      <c r="N74" s="10">
        <f t="shared" si="0"/>
        <v>0</v>
      </c>
      <c r="O74" s="11">
        <f t="shared" si="0"/>
        <v>0</v>
      </c>
      <c r="P74" s="10">
        <f t="shared" si="0"/>
        <v>0</v>
      </c>
      <c r="Q74" s="11">
        <f t="shared" si="0"/>
        <v>0</v>
      </c>
      <c r="R74" s="10">
        <f t="shared" si="0"/>
        <v>0</v>
      </c>
      <c r="S74" s="11">
        <f t="shared" si="0"/>
        <v>0</v>
      </c>
      <c r="T74" s="10">
        <f t="shared" si="0"/>
        <v>0</v>
      </c>
      <c r="U74" s="11">
        <f t="shared" si="0"/>
        <v>0</v>
      </c>
    </row>
    <row r="75" spans="1:21" ht="26.25" x14ac:dyDescent="0.25">
      <c r="B75" s="15" t="str">
        <f>B14</f>
        <v>RESUMEN (2%)</v>
      </c>
      <c r="C75" s="15"/>
      <c r="D75" s="15"/>
      <c r="E75" s="15"/>
      <c r="F75" s="15"/>
      <c r="G75" s="15"/>
      <c r="I75" s="9">
        <f t="shared" ref="I75:U75" si="1">AVERAGE(I15:I18)*100/5</f>
        <v>100</v>
      </c>
      <c r="J75" s="10">
        <f t="shared" si="1"/>
        <v>0</v>
      </c>
      <c r="K75" s="11">
        <f t="shared" si="1"/>
        <v>0</v>
      </c>
      <c r="L75" s="10">
        <f t="shared" si="1"/>
        <v>0</v>
      </c>
      <c r="M75" s="11">
        <f t="shared" si="1"/>
        <v>0</v>
      </c>
      <c r="N75" s="10">
        <f t="shared" si="1"/>
        <v>0</v>
      </c>
      <c r="O75" s="11">
        <f t="shared" si="1"/>
        <v>0</v>
      </c>
      <c r="P75" s="10">
        <f t="shared" si="1"/>
        <v>0</v>
      </c>
      <c r="Q75" s="11">
        <f t="shared" si="1"/>
        <v>0</v>
      </c>
      <c r="R75" s="10">
        <f t="shared" si="1"/>
        <v>0</v>
      </c>
      <c r="S75" s="11">
        <f t="shared" si="1"/>
        <v>0</v>
      </c>
      <c r="T75" s="10">
        <f t="shared" si="1"/>
        <v>0</v>
      </c>
      <c r="U75" s="11">
        <f t="shared" si="1"/>
        <v>0</v>
      </c>
    </row>
    <row r="76" spans="1:21" ht="26.25" x14ac:dyDescent="0.25">
      <c r="B76" s="15" t="str">
        <f>B20</f>
        <v>INTRODUCCIÓN (3%)</v>
      </c>
      <c r="C76" s="15"/>
      <c r="D76" s="15"/>
      <c r="E76" s="15"/>
      <c r="F76" s="15"/>
      <c r="G76" s="15"/>
      <c r="I76" s="9">
        <f t="shared" ref="I76:U76" si="2">AVERAGE(I21:I27)*100/5</f>
        <v>100</v>
      </c>
      <c r="J76" s="10">
        <f t="shared" si="2"/>
        <v>0</v>
      </c>
      <c r="K76" s="11">
        <f t="shared" si="2"/>
        <v>0</v>
      </c>
      <c r="L76" s="10">
        <f t="shared" si="2"/>
        <v>0</v>
      </c>
      <c r="M76" s="11">
        <f t="shared" si="2"/>
        <v>0</v>
      </c>
      <c r="N76" s="10">
        <f t="shared" si="2"/>
        <v>0</v>
      </c>
      <c r="O76" s="11">
        <f t="shared" si="2"/>
        <v>0</v>
      </c>
      <c r="P76" s="10">
        <f t="shared" si="2"/>
        <v>0</v>
      </c>
      <c r="Q76" s="11">
        <f t="shared" si="2"/>
        <v>0</v>
      </c>
      <c r="R76" s="10">
        <f t="shared" si="2"/>
        <v>0</v>
      </c>
      <c r="S76" s="11">
        <f t="shared" si="2"/>
        <v>0</v>
      </c>
      <c r="T76" s="10">
        <f t="shared" si="2"/>
        <v>0</v>
      </c>
      <c r="U76" s="11">
        <f t="shared" si="2"/>
        <v>0</v>
      </c>
    </row>
    <row r="77" spans="1:21" ht="26.25" x14ac:dyDescent="0.25">
      <c r="B77" s="15" t="str">
        <f>B29</f>
        <v>REPRESENTACIÓN (10%)</v>
      </c>
      <c r="C77" s="15"/>
      <c r="D77" s="15"/>
      <c r="E77" s="15"/>
      <c r="F77" s="15"/>
      <c r="G77" s="15"/>
      <c r="I77" s="9">
        <f t="shared" ref="I77:U77" si="3">AVERAGE(I30:I35)*100/5</f>
        <v>100</v>
      </c>
      <c r="J77" s="10">
        <f t="shared" si="3"/>
        <v>0</v>
      </c>
      <c r="K77" s="11">
        <f t="shared" si="3"/>
        <v>0</v>
      </c>
      <c r="L77" s="10">
        <f t="shared" si="3"/>
        <v>0</v>
      </c>
      <c r="M77" s="11">
        <f t="shared" si="3"/>
        <v>0</v>
      </c>
      <c r="N77" s="10">
        <f t="shared" si="3"/>
        <v>0</v>
      </c>
      <c r="O77" s="11">
        <f t="shared" si="3"/>
        <v>0</v>
      </c>
      <c r="P77" s="10">
        <f t="shared" si="3"/>
        <v>0</v>
      </c>
      <c r="Q77" s="11">
        <f t="shared" si="3"/>
        <v>0</v>
      </c>
      <c r="R77" s="10">
        <f t="shared" si="3"/>
        <v>0</v>
      </c>
      <c r="S77" s="11">
        <f t="shared" si="3"/>
        <v>0</v>
      </c>
      <c r="T77" s="10">
        <f t="shared" si="3"/>
        <v>0</v>
      </c>
      <c r="U77" s="11">
        <f t="shared" si="3"/>
        <v>0</v>
      </c>
    </row>
    <row r="78" spans="1:21" ht="26.25" x14ac:dyDescent="0.25">
      <c r="B78" s="15" t="str">
        <f>B37</f>
        <v>DESCRIPCIÓN DEL ALGORITMO (20%)</v>
      </c>
      <c r="C78" s="15"/>
      <c r="D78" s="15"/>
      <c r="E78" s="15"/>
      <c r="F78" s="15"/>
      <c r="G78" s="15"/>
      <c r="I78" s="9">
        <f t="shared" ref="I78:U78" si="4">AVERAGE(I38:I45)*100/5</f>
        <v>100</v>
      </c>
      <c r="J78" s="10">
        <f t="shared" si="4"/>
        <v>0</v>
      </c>
      <c r="K78" s="11">
        <f t="shared" si="4"/>
        <v>0</v>
      </c>
      <c r="L78" s="10">
        <f t="shared" si="4"/>
        <v>0</v>
      </c>
      <c r="M78" s="11">
        <f t="shared" si="4"/>
        <v>0</v>
      </c>
      <c r="N78" s="10">
        <f t="shared" si="4"/>
        <v>0</v>
      </c>
      <c r="O78" s="11">
        <f t="shared" si="4"/>
        <v>0</v>
      </c>
      <c r="P78" s="10">
        <f t="shared" si="4"/>
        <v>0</v>
      </c>
      <c r="Q78" s="11">
        <f t="shared" si="4"/>
        <v>0</v>
      </c>
      <c r="R78" s="10">
        <f t="shared" si="4"/>
        <v>0</v>
      </c>
      <c r="S78" s="11">
        <f t="shared" si="4"/>
        <v>0</v>
      </c>
      <c r="T78" s="10">
        <f t="shared" si="4"/>
        <v>0</v>
      </c>
      <c r="U78" s="11">
        <f t="shared" si="4"/>
        <v>0</v>
      </c>
    </row>
    <row r="79" spans="1:21" ht="26.25" x14ac:dyDescent="0.25">
      <c r="B79" s="15" t="str">
        <f>B47</f>
        <v>EXPERIMENTOS (10%)</v>
      </c>
      <c r="C79" s="15"/>
      <c r="D79" s="15"/>
      <c r="E79" s="15"/>
      <c r="F79" s="15"/>
      <c r="G79" s="15"/>
      <c r="I79" s="9">
        <f t="shared" ref="I79:U79" si="5">AVERAGE(I48:I51)*100/5</f>
        <v>100</v>
      </c>
      <c r="J79" s="10">
        <f t="shared" si="5"/>
        <v>0</v>
      </c>
      <c r="K79" s="11">
        <f t="shared" si="5"/>
        <v>0</v>
      </c>
      <c r="L79" s="10">
        <f t="shared" si="5"/>
        <v>0</v>
      </c>
      <c r="M79" s="11">
        <f t="shared" si="5"/>
        <v>0</v>
      </c>
      <c r="N79" s="10">
        <f t="shared" si="5"/>
        <v>0</v>
      </c>
      <c r="O79" s="11">
        <f t="shared" si="5"/>
        <v>0</v>
      </c>
      <c r="P79" s="10">
        <f t="shared" si="5"/>
        <v>0</v>
      </c>
      <c r="Q79" s="11">
        <f t="shared" si="5"/>
        <v>0</v>
      </c>
      <c r="R79" s="10">
        <f t="shared" si="5"/>
        <v>0</v>
      </c>
      <c r="S79" s="11">
        <f t="shared" si="5"/>
        <v>0</v>
      </c>
      <c r="T79" s="10">
        <f t="shared" si="5"/>
        <v>0</v>
      </c>
      <c r="U79" s="11">
        <f t="shared" si="5"/>
        <v>0</v>
      </c>
    </row>
    <row r="80" spans="1:21" ht="26.25" x14ac:dyDescent="0.25">
      <c r="B80" s="15" t="str">
        <f>B53</f>
        <v>RESULTADOS (10%)</v>
      </c>
      <c r="C80" s="15"/>
      <c r="D80" s="15"/>
      <c r="E80" s="15"/>
      <c r="F80" s="15"/>
      <c r="G80" s="15"/>
      <c r="I80" s="9">
        <f t="shared" ref="I80:U80" si="6">AVERAGE(I54:I59)*100/5</f>
        <v>100</v>
      </c>
      <c r="J80" s="10">
        <f t="shared" si="6"/>
        <v>0</v>
      </c>
      <c r="K80" s="11">
        <f t="shared" si="6"/>
        <v>0</v>
      </c>
      <c r="L80" s="10">
        <f t="shared" si="6"/>
        <v>0</v>
      </c>
      <c r="M80" s="11">
        <f t="shared" si="6"/>
        <v>0</v>
      </c>
      <c r="N80" s="10">
        <f t="shared" si="6"/>
        <v>0</v>
      </c>
      <c r="O80" s="11">
        <f t="shared" si="6"/>
        <v>0</v>
      </c>
      <c r="P80" s="10">
        <f t="shared" si="6"/>
        <v>0</v>
      </c>
      <c r="Q80" s="11">
        <f t="shared" si="6"/>
        <v>0</v>
      </c>
      <c r="R80" s="10">
        <f t="shared" si="6"/>
        <v>0</v>
      </c>
      <c r="S80" s="11">
        <f t="shared" si="6"/>
        <v>0</v>
      </c>
      <c r="T80" s="10">
        <f t="shared" si="6"/>
        <v>0</v>
      </c>
      <c r="U80" s="11">
        <f t="shared" si="6"/>
        <v>0</v>
      </c>
    </row>
    <row r="81" spans="2:21" ht="26.25" x14ac:dyDescent="0.25">
      <c r="B81" s="15" t="str">
        <f>B61</f>
        <v>CONCLUSIONES (20%)</v>
      </c>
      <c r="C81" s="15"/>
      <c r="D81" s="15"/>
      <c r="E81" s="15"/>
      <c r="F81" s="15"/>
      <c r="G81" s="15"/>
      <c r="I81" s="9">
        <f t="shared" ref="I81:U81" si="7">AVERAGE(I62:I67)*100/5</f>
        <v>100</v>
      </c>
      <c r="J81" s="10">
        <f t="shared" si="7"/>
        <v>0</v>
      </c>
      <c r="K81" s="11">
        <f t="shared" si="7"/>
        <v>0</v>
      </c>
      <c r="L81" s="10">
        <f t="shared" si="7"/>
        <v>0</v>
      </c>
      <c r="M81" s="11">
        <f t="shared" si="7"/>
        <v>0</v>
      </c>
      <c r="N81" s="10">
        <f t="shared" si="7"/>
        <v>0</v>
      </c>
      <c r="O81" s="11">
        <f t="shared" si="7"/>
        <v>0</v>
      </c>
      <c r="P81" s="10">
        <f t="shared" si="7"/>
        <v>0</v>
      </c>
      <c r="Q81" s="11">
        <f t="shared" si="7"/>
        <v>0</v>
      </c>
      <c r="R81" s="10">
        <f t="shared" si="7"/>
        <v>0</v>
      </c>
      <c r="S81" s="11">
        <f t="shared" si="7"/>
        <v>0</v>
      </c>
      <c r="T81" s="10">
        <f t="shared" si="7"/>
        <v>0</v>
      </c>
      <c r="U81" s="11">
        <f t="shared" si="7"/>
        <v>0</v>
      </c>
    </row>
    <row r="82" spans="2:21" ht="26.25" x14ac:dyDescent="0.25">
      <c r="B82" s="15" t="str">
        <f>B69</f>
        <v>BIBLIOGRAFÍA (5%)</v>
      </c>
      <c r="C82" s="15"/>
      <c r="D82" s="15"/>
      <c r="E82" s="15"/>
      <c r="F82" s="15"/>
      <c r="G82" s="15"/>
      <c r="I82" s="9">
        <f t="shared" ref="I82:U82" si="8">AVERAGE(I70:I72)*100/5</f>
        <v>100</v>
      </c>
      <c r="J82" s="10">
        <f t="shared" si="8"/>
        <v>0</v>
      </c>
      <c r="K82" s="11">
        <f t="shared" si="8"/>
        <v>0</v>
      </c>
      <c r="L82" s="10">
        <f t="shared" si="8"/>
        <v>0</v>
      </c>
      <c r="M82" s="11">
        <f t="shared" si="8"/>
        <v>0</v>
      </c>
      <c r="N82" s="10">
        <f t="shared" si="8"/>
        <v>0</v>
      </c>
      <c r="O82" s="11">
        <f t="shared" si="8"/>
        <v>0</v>
      </c>
      <c r="P82" s="10">
        <f t="shared" si="8"/>
        <v>0</v>
      </c>
      <c r="Q82" s="11">
        <f t="shared" si="8"/>
        <v>0</v>
      </c>
      <c r="R82" s="10">
        <f t="shared" si="8"/>
        <v>0</v>
      </c>
      <c r="S82" s="11">
        <f t="shared" si="8"/>
        <v>0</v>
      </c>
      <c r="T82" s="10">
        <f t="shared" si="8"/>
        <v>0</v>
      </c>
      <c r="U82" s="11">
        <f t="shared" si="8"/>
        <v>0</v>
      </c>
    </row>
    <row r="83" spans="2:21" ht="24.4" customHeight="1" x14ac:dyDescent="0.25">
      <c r="B83" s="15" t="s">
        <v>59</v>
      </c>
      <c r="C83" s="15"/>
      <c r="D83" s="15"/>
      <c r="E83" s="15"/>
      <c r="F83" s="15"/>
      <c r="G83" s="15"/>
      <c r="I83" s="12">
        <f>0.2*I74+0.02*I75+0.03*I76+0.1*I77+0.2*I78+0.1*I79+0.1*I80+0.2*I81+0.05*I82</f>
        <v>100</v>
      </c>
      <c r="J83" s="13">
        <f t="shared" ref="J83:U83" si="9">0.2*J74+0.15*J77+0.2*J78+0.1*J79+0.1*J80+0.2*J81+0.05*J82</f>
        <v>0</v>
      </c>
      <c r="K83" s="14">
        <f t="shared" si="9"/>
        <v>0</v>
      </c>
      <c r="L83" s="13">
        <f t="shared" si="9"/>
        <v>0</v>
      </c>
      <c r="M83" s="14">
        <f t="shared" si="9"/>
        <v>0</v>
      </c>
      <c r="N83" s="13">
        <f t="shared" si="9"/>
        <v>0</v>
      </c>
      <c r="O83" s="14">
        <f t="shared" si="9"/>
        <v>0</v>
      </c>
      <c r="P83" s="13">
        <f t="shared" si="9"/>
        <v>0</v>
      </c>
      <c r="Q83" s="14">
        <f t="shared" si="9"/>
        <v>0</v>
      </c>
      <c r="R83" s="13">
        <f t="shared" si="9"/>
        <v>0</v>
      </c>
      <c r="S83" s="14">
        <f t="shared" si="9"/>
        <v>0</v>
      </c>
      <c r="T83" s="13">
        <f t="shared" si="9"/>
        <v>0</v>
      </c>
      <c r="U83" s="14">
        <f t="shared" si="9"/>
        <v>0</v>
      </c>
    </row>
    <row r="84" spans="2:21" ht="24.4" customHeight="1" x14ac:dyDescent="0.25">
      <c r="B84" s="16" t="s">
        <v>60</v>
      </c>
      <c r="C84" s="16"/>
      <c r="D84" s="16"/>
      <c r="E84" s="16"/>
      <c r="F84" s="16"/>
      <c r="G84" s="16"/>
      <c r="I84" s="5">
        <v>0</v>
      </c>
      <c r="J84" s="10">
        <v>0</v>
      </c>
      <c r="K84" s="11">
        <v>0</v>
      </c>
      <c r="L84" s="10">
        <v>0</v>
      </c>
      <c r="M84" s="11">
        <v>0</v>
      </c>
      <c r="N84" s="10">
        <v>0</v>
      </c>
      <c r="O84" s="11">
        <v>0</v>
      </c>
      <c r="P84" s="10">
        <v>0</v>
      </c>
      <c r="Q84" s="11">
        <v>0</v>
      </c>
      <c r="R84" s="10">
        <v>0</v>
      </c>
      <c r="S84" s="11">
        <v>0</v>
      </c>
      <c r="T84" s="10">
        <v>0</v>
      </c>
      <c r="U84" s="11">
        <v>0</v>
      </c>
    </row>
    <row r="85" spans="2:21" ht="24.4" customHeight="1" x14ac:dyDescent="0.25">
      <c r="B85" s="15" t="s">
        <v>61</v>
      </c>
      <c r="C85" s="15"/>
      <c r="D85" s="15"/>
      <c r="E85" s="15"/>
      <c r="F85" s="15"/>
      <c r="G85" s="15"/>
      <c r="I85" s="5">
        <f t="shared" ref="I85:U85" si="10">IF(I83-I84&lt;0,0,I83-I84)</f>
        <v>100</v>
      </c>
      <c r="J85" s="10">
        <f t="shared" si="10"/>
        <v>0</v>
      </c>
      <c r="K85" s="11">
        <f t="shared" si="10"/>
        <v>0</v>
      </c>
      <c r="L85" s="10">
        <f t="shared" si="10"/>
        <v>0</v>
      </c>
      <c r="M85" s="11">
        <f t="shared" si="10"/>
        <v>0</v>
      </c>
      <c r="N85" s="10">
        <f t="shared" si="10"/>
        <v>0</v>
      </c>
      <c r="O85" s="11">
        <f t="shared" si="10"/>
        <v>0</v>
      </c>
      <c r="P85" s="10">
        <f t="shared" si="10"/>
        <v>0</v>
      </c>
      <c r="Q85" s="11">
        <f t="shared" si="10"/>
        <v>0</v>
      </c>
      <c r="R85" s="10">
        <f t="shared" si="10"/>
        <v>0</v>
      </c>
      <c r="S85" s="11">
        <f t="shared" si="10"/>
        <v>0</v>
      </c>
      <c r="T85" s="10">
        <f t="shared" si="10"/>
        <v>0</v>
      </c>
      <c r="U85" s="11">
        <f t="shared" si="10"/>
        <v>0</v>
      </c>
    </row>
  </sheetData>
  <mergeCells count="90">
    <mergeCell ref="B1:G1"/>
    <mergeCell ref="I1:U1"/>
    <mergeCell ref="B2:G3"/>
    <mergeCell ref="I2:I3"/>
    <mergeCell ref="J2:J3"/>
    <mergeCell ref="K2:K3"/>
    <mergeCell ref="L2:L3"/>
    <mergeCell ref="M2:M3"/>
    <mergeCell ref="N2:N3"/>
    <mergeCell ref="O2:O3"/>
    <mergeCell ref="P2:P3"/>
    <mergeCell ref="Q2:Q3"/>
    <mergeCell ref="R2:R3"/>
    <mergeCell ref="S2:S3"/>
    <mergeCell ref="T2:T3"/>
    <mergeCell ref="U2:U3"/>
    <mergeCell ref="B6:G6"/>
    <mergeCell ref="B7:G7"/>
    <mergeCell ref="B8:G8"/>
    <mergeCell ref="B9:G9"/>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7:G37"/>
    <mergeCell ref="B38:G38"/>
    <mergeCell ref="B39:G39"/>
    <mergeCell ref="B40:G40"/>
    <mergeCell ref="B41:G41"/>
    <mergeCell ref="B42:G42"/>
    <mergeCell ref="B43:G43"/>
    <mergeCell ref="B44:G44"/>
    <mergeCell ref="B45:G45"/>
    <mergeCell ref="B47:G47"/>
    <mergeCell ref="B48:G48"/>
    <mergeCell ref="B49:G49"/>
    <mergeCell ref="B50:G50"/>
    <mergeCell ref="B51:G51"/>
    <mergeCell ref="B53:G53"/>
    <mergeCell ref="B54:G54"/>
    <mergeCell ref="B55:G55"/>
    <mergeCell ref="B56:G56"/>
    <mergeCell ref="B57:G57"/>
    <mergeCell ref="B58:G58"/>
    <mergeCell ref="B59:G59"/>
    <mergeCell ref="B61:G61"/>
    <mergeCell ref="B62:G62"/>
    <mergeCell ref="B63:G63"/>
    <mergeCell ref="B64:G64"/>
    <mergeCell ref="B65:G65"/>
    <mergeCell ref="B66:G66"/>
    <mergeCell ref="B67:G67"/>
    <mergeCell ref="B69:G69"/>
    <mergeCell ref="B70:G70"/>
    <mergeCell ref="B71:G71"/>
    <mergeCell ref="B72:G72"/>
    <mergeCell ref="B74:G74"/>
    <mergeCell ref="B75:G75"/>
    <mergeCell ref="B76:G76"/>
    <mergeCell ref="B82:G82"/>
    <mergeCell ref="B83:G83"/>
    <mergeCell ref="B84:G84"/>
    <mergeCell ref="B85:G85"/>
    <mergeCell ref="B77:G77"/>
    <mergeCell ref="B78:G78"/>
    <mergeCell ref="B79:G79"/>
    <mergeCell ref="B80:G80"/>
    <mergeCell ref="B81:G81"/>
  </mergeCells>
  <conditionalFormatting sqref="I2:U2 I4:N4 P4 S4:U4">
    <cfRule type="cellIs" dxfId="2" priority="2" operator="lessThan">
      <formula>54.5</formula>
    </cfRule>
  </conditionalFormatting>
  <conditionalFormatting sqref="I5:U6 I68:U68">
    <cfRule type="cellIs" dxfId="1" priority="4" operator="lessThan">
      <formula>54.5</formula>
    </cfRule>
  </conditionalFormatting>
  <conditionalFormatting sqref="I73:U73">
    <cfRule type="cellIs" dxfId="0" priority="3" operator="lessThan">
      <formula>54.5</formula>
    </cfRule>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28</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Entrega2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Rojas</dc:creator>
  <dc:description/>
  <cp:lastModifiedBy>PABLO IGNACIO ESTOBAR FERNÁNDEZ (Alumno)</cp:lastModifiedBy>
  <cp:revision>23</cp:revision>
  <dcterms:created xsi:type="dcterms:W3CDTF">2023-11-09T19:55:02Z</dcterms:created>
  <dcterms:modified xsi:type="dcterms:W3CDTF">2025-06-24T22:15:13Z</dcterms:modified>
  <dc:language>en-US</dc:language>
</cp:coreProperties>
</file>