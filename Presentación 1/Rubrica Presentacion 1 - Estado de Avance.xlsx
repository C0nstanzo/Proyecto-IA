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.estobar\wkspaces\Ayudantia - 2025-1\"/>
    </mc:Choice>
  </mc:AlternateContent>
  <xr:revisionPtr revIDLastSave="0" documentId="8_{5BB0EC54-02C0-43A5-A74E-7227C61D4D66}" xr6:coauthVersionLast="47" xr6:coauthVersionMax="47" xr10:uidLastSave="{00000000-0000-0000-0000-000000000000}"/>
  <bookViews>
    <workbookView xWindow="-120" yWindow="-120" windowWidth="29040" windowHeight="15840" xr2:uid="{DE7C6BDE-27E0-4780-A565-587260C88F70}"/>
  </bookViews>
  <sheets>
    <sheet name="Presentación EdAv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B36" i="1"/>
  <c r="I35" i="1"/>
  <c r="B35" i="1"/>
  <c r="I34" i="1"/>
  <c r="B34" i="1"/>
  <c r="I33" i="1"/>
  <c r="I38" i="1" s="1"/>
  <c r="B33" i="1"/>
</calcChain>
</file>

<file path=xl/sharedStrings.xml><?xml version="1.0" encoding="utf-8"?>
<sst xmlns="http://schemas.openxmlformats.org/spreadsheetml/2006/main" count="26" uniqueCount="26">
  <si>
    <t>Presentación - Estado de Avance</t>
  </si>
  <si>
    <t>Escala: Excelente (5), Bueno (4), Aceptable (3), Deficiente (2), Malo (1), Ausente (0)</t>
  </si>
  <si>
    <t>DESCUENTOS ESTABLECIDOS POR INCUMPLIMIENTO Y NOTAS MIÍNIMAS EN DOCUMENTO "Reglas Proyecto 2025-01"</t>
  </si>
  <si>
    <t>Estudiante:</t>
  </si>
  <si>
    <t>Representación  y Manejo de Restricciones (20%)</t>
  </si>
  <si>
    <t>Explica representación y cómo fue implementada en el código</t>
  </si>
  <si>
    <t>Explica cómo abordará las restricciones en el código</t>
  </si>
  <si>
    <t>Explica la implementación de la lectura de la instancia en el código (de acuerdo a lo especificado por proyecto)</t>
  </si>
  <si>
    <t>Algoritmo  (60%)</t>
  </si>
  <si>
    <t>Presenta la lectura de casos de pruebas y la gestión/almacenamiento interno de la información</t>
  </si>
  <si>
    <t>Explica el código que genera la Solución Inicial/funciona para todos los casos de pruebas provistos</t>
  </si>
  <si>
    <t>Explica el código de la Función de Evaluación/funciona para todos los casos</t>
  </si>
  <si>
    <t>Explica el algoritmo que genera soluciones iniciales (greedy o aleatorias de acuerdo a lo pedido). El objetivo del método que se condice con la representación y función de evaluación</t>
  </si>
  <si>
    <t>Explica el código de escritura de salida de soluciones/ funciona para todos los casos</t>
  </si>
  <si>
    <t>Explica el funcionamiento básico del algoritmo a implementar según la técnica asignada</t>
  </si>
  <si>
    <t>Explica el/los movimiento/s diseñado/s que implementará</t>
  </si>
  <si>
    <t>Justifica el diseño de los movimientos propuestos (porqué  y qué objetivo tiene cada uno)</t>
  </si>
  <si>
    <t>Conclusiones (10%)</t>
  </si>
  <si>
    <t>Las conclusiones son acordes a lo expuesto en su presentación</t>
  </si>
  <si>
    <t>Se presenta con claridad el trabajo que resta por realizar</t>
  </si>
  <si>
    <t>Otros (10%)</t>
  </si>
  <si>
    <t>Utiliza referencias bibliográficas durante la presentación</t>
  </si>
  <si>
    <t>Utiliza recursos gráficos para realizar su presentación</t>
  </si>
  <si>
    <t>Respeta la duración máxima de la presentación (10 minutos)</t>
  </si>
  <si>
    <t>Descuentos</t>
  </si>
  <si>
    <t>NOTA FINAL ENTREGABLE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</si>
</sst>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3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sz val="11"/>
      <color rgb="FFFF0000"/>
      <name val="Calibri"/>
      <family val="2"/>
    </font>
    <font>
      <sz val="11"/>
      <color rgb="FF000080"/>
      <name val="Calibri"/>
      <family val="2"/>
    </font>
    <font>
      <sz val="11"/>
      <color rgb="FF993300"/>
      <name val="Calibri"/>
      <family val="2"/>
    </font>
    <font>
      <sz val="11"/>
      <color rgb="FF0000FF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sz val="11"/>
      <color rgb="FF008000"/>
      <name val="Calibri"/>
      <family val="2"/>
    </font>
    <font>
      <b/>
      <sz val="24"/>
      <color rgb="FF000000"/>
      <name val="Calibri"/>
      <family val="2"/>
    </font>
    <font>
      <b/>
      <i/>
      <sz val="16"/>
      <color rgb="FF000000"/>
      <name val="Calibri"/>
      <family val="2"/>
    </font>
    <font>
      <b/>
      <sz val="15"/>
      <color rgb="FF003366"/>
      <name val="Calibri"/>
      <family val="2"/>
    </font>
    <font>
      <b/>
      <sz val="12"/>
      <color rgb="FF000000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u/>
      <sz val="11"/>
      <color rgb="FF0000EE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8"/>
      <color rgb="FF003366"/>
      <name val="Cambria"/>
      <family val="1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rgb="FF333399"/>
      </top>
      <bottom style="double">
        <color auto="1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double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9">
    <xf numFmtId="0" fontId="0" fillId="0" borderId="0"/>
    <xf numFmtId="0" fontId="24" fillId="28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3" fillId="0" borderId="0"/>
    <xf numFmtId="0" fontId="4" fillId="16" borderId="0"/>
    <xf numFmtId="0" fontId="4" fillId="17" borderId="0"/>
    <xf numFmtId="0" fontId="3" fillId="18" borderId="0"/>
    <xf numFmtId="0" fontId="2" fillId="19" borderId="0"/>
    <xf numFmtId="0" fontId="2" fillId="20" borderId="0"/>
    <xf numFmtId="0" fontId="2" fillId="21" borderId="0"/>
    <xf numFmtId="0" fontId="2" fillId="13" borderId="0"/>
    <xf numFmtId="0" fontId="2" fillId="14" borderId="0"/>
    <xf numFmtId="0" fontId="2" fillId="22" borderId="0"/>
    <xf numFmtId="0" fontId="5" fillId="23" borderId="0"/>
    <xf numFmtId="0" fontId="6" fillId="3" borderId="0"/>
    <xf numFmtId="0" fontId="7" fillId="24" borderId="1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25" borderId="2"/>
    <xf numFmtId="0" fontId="8" fillId="0" borderId="0"/>
    <xf numFmtId="0" fontId="4" fillId="26" borderId="0"/>
    <xf numFmtId="0" fontId="10" fillId="27" borderId="0"/>
    <xf numFmtId="0" fontId="3" fillId="0" borderId="3"/>
    <xf numFmtId="0" fontId="11" fillId="0" borderId="0"/>
    <xf numFmtId="0" fontId="12" fillId="0" borderId="0"/>
    <xf numFmtId="0" fontId="12" fillId="0" borderId="0"/>
    <xf numFmtId="0" fontId="13" fillId="4" borderId="0"/>
    <xf numFmtId="0" fontId="14" fillId="4" borderId="0"/>
    <xf numFmtId="0" fontId="15" fillId="0" borderId="0"/>
    <xf numFmtId="0" fontId="16" fillId="0" borderId="0">
      <alignment horizontal="center" textRotation="90"/>
    </xf>
    <xf numFmtId="0" fontId="17" fillId="0" borderId="4"/>
    <xf numFmtId="0" fontId="18" fillId="0" borderId="0"/>
    <xf numFmtId="0" fontId="19" fillId="0" borderId="5"/>
    <xf numFmtId="0" fontId="20" fillId="0" borderId="6"/>
    <xf numFmtId="0" fontId="20" fillId="0" borderId="0"/>
    <xf numFmtId="0" fontId="16" fillId="0" borderId="0">
      <alignment horizontal="center"/>
    </xf>
    <xf numFmtId="0" fontId="16" fillId="0" borderId="0">
      <alignment horizontal="center"/>
    </xf>
    <xf numFmtId="0" fontId="16" fillId="0" borderId="0">
      <alignment horizontal="center" textRotation="90"/>
    </xf>
    <xf numFmtId="0" fontId="21" fillId="0" borderId="0"/>
    <xf numFmtId="0" fontId="22" fillId="7" borderId="1"/>
    <xf numFmtId="0" fontId="23" fillId="0" borderId="7"/>
    <xf numFmtId="0" fontId="25" fillId="28" borderId="1"/>
    <xf numFmtId="0" fontId="1" fillId="28" borderId="8"/>
    <xf numFmtId="0" fontId="26" fillId="24" borderId="9"/>
    <xf numFmtId="0" fontId="27" fillId="0" borderId="0"/>
    <xf numFmtId="0" fontId="27" fillId="0" borderId="0"/>
    <xf numFmtId="0" fontId="27" fillId="0" borderId="0"/>
    <xf numFmtId="164" fontId="27" fillId="0" borderId="0"/>
    <xf numFmtId="164" fontId="27" fillId="0" borderId="0"/>
    <xf numFmtId="0" fontId="1" fillId="0" borderId="0"/>
    <xf numFmtId="0" fontId="1" fillId="0" borderId="0"/>
    <xf numFmtId="0" fontId="28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29" fillId="0" borderId="0" xfId="0" applyFont="1"/>
    <xf numFmtId="0" fontId="31" fillId="0" borderId="0" xfId="0" applyFont="1"/>
    <xf numFmtId="0" fontId="31" fillId="29" borderId="0" xfId="0" applyFont="1" applyFill="1"/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10" xfId="0" applyNumberForma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0" fillId="29" borderId="1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30" fillId="29" borderId="10" xfId="0" applyFont="1" applyFill="1" applyBorder="1" applyAlignment="1">
      <alignment vertical="center" wrapText="1"/>
    </xf>
    <xf numFmtId="0" fontId="0" fillId="29" borderId="10" xfId="0" applyFill="1" applyBorder="1"/>
    <xf numFmtId="0" fontId="4" fillId="30" borderId="10" xfId="0" applyFont="1" applyFill="1" applyBorder="1" applyAlignment="1">
      <alignment wrapText="1"/>
    </xf>
    <xf numFmtId="0" fontId="0" fillId="0" borderId="10" xfId="0" applyFill="1" applyBorder="1" applyAlignment="1">
      <alignment horizontal="left" vertical="center" wrapText="1"/>
    </xf>
    <xf numFmtId="0" fontId="3" fillId="31" borderId="10" xfId="0" applyFont="1" applyFill="1" applyBorder="1" applyAlignment="1">
      <alignment wrapText="1"/>
    </xf>
    <xf numFmtId="0" fontId="0" fillId="0" borderId="10" xfId="0" applyFill="1" applyBorder="1" applyAlignment="1">
      <alignment vertical="center" wrapText="1"/>
    </xf>
    <xf numFmtId="0" fontId="4" fillId="32" borderId="10" xfId="0" applyFont="1" applyFill="1" applyBorder="1" applyAlignment="1">
      <alignment horizontal="left" vertical="center" wrapText="1"/>
    </xf>
    <xf numFmtId="0" fontId="4" fillId="33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4" fillId="29" borderId="11" xfId="0" applyFont="1" applyFill="1" applyBorder="1" applyAlignment="1">
      <alignment horizontal="right" wrapText="1"/>
    </xf>
  </cellXfs>
  <cellStyles count="79">
    <cellStyle name="20% - Accent1" xfId="2" xr:uid="{26AA6E52-FB45-4442-A20E-FCEE45C69089}"/>
    <cellStyle name="20% - Accent2" xfId="3" xr:uid="{9EC3FBA6-8AFF-4A09-92EB-EE9D70CBFF31}"/>
    <cellStyle name="20% - Accent3" xfId="4" xr:uid="{261CFF86-A5C4-46DD-A0E5-B6CA5E528225}"/>
    <cellStyle name="20% - Accent4" xfId="5" xr:uid="{E5AB3AEF-9126-437E-A891-77659842BFD2}"/>
    <cellStyle name="20% - Accent5" xfId="6" xr:uid="{F59C4BED-BFD5-41C7-9F6D-99809F8718FB}"/>
    <cellStyle name="20% - Accent6" xfId="7" xr:uid="{AF61F871-93F9-4450-A448-B0F4F450B9FB}"/>
    <cellStyle name="40% - Accent1" xfId="8" xr:uid="{3E500B68-1F2D-47E7-863D-1950175BFD40}"/>
    <cellStyle name="40% - Accent2" xfId="9" xr:uid="{77188722-932A-498F-AB8D-B9049A993C8A}"/>
    <cellStyle name="40% - Accent3" xfId="10" xr:uid="{EEEA1164-243B-4773-BEA1-977942FBB221}"/>
    <cellStyle name="40% - Accent4" xfId="11" xr:uid="{68C1AA68-7AD5-4102-B9ED-EE7EC89C03AC}"/>
    <cellStyle name="40% - Accent5" xfId="12" xr:uid="{BB958171-46B3-4EAD-8E48-E0351AFF7F41}"/>
    <cellStyle name="40% - Accent6" xfId="13" xr:uid="{A2C9D3DD-9C53-41ED-9D03-6009F36FC9D5}"/>
    <cellStyle name="60% - Accent1" xfId="14" xr:uid="{A4022D7B-A67F-4E0D-8664-75DF184876EB}"/>
    <cellStyle name="60% - Accent2" xfId="15" xr:uid="{414DC2C0-AD18-48AD-8766-AA054C2EAA96}"/>
    <cellStyle name="60% - Accent3" xfId="16" xr:uid="{8060239F-6715-4850-A611-A5964F36ACF6}"/>
    <cellStyle name="60% - Accent4" xfId="17" xr:uid="{D871CF10-E304-425C-ABB9-B335F5F38B6D}"/>
    <cellStyle name="60% - Accent5" xfId="18" xr:uid="{5C313625-7AD8-4FB0-8C1F-B89BF27D82AA}"/>
    <cellStyle name="60% - Accent6" xfId="19" xr:uid="{B3F33A2A-D888-406E-8AB1-E80055D435A8}"/>
    <cellStyle name="Accent" xfId="20" xr:uid="{429E8AE4-A581-4DCE-9E0D-4226302E8DCB}"/>
    <cellStyle name="Accent 1" xfId="21" xr:uid="{41BCA4CC-58E2-4ECF-AA4A-F6CFCBADBA67}"/>
    <cellStyle name="Accent 2" xfId="22" xr:uid="{A829155B-7F40-4E78-BD39-49C5E20DCB20}"/>
    <cellStyle name="Accent 3" xfId="23" xr:uid="{E3BA84D7-C9E3-4C0C-9F62-AF4067979A2B}"/>
    <cellStyle name="Accent1" xfId="24" xr:uid="{FF50684A-AB9C-459D-9E1A-7DC805E7CFFD}"/>
    <cellStyle name="Accent2" xfId="25" xr:uid="{744CCEDC-96E3-40CB-B460-8283915FEE09}"/>
    <cellStyle name="Accent3" xfId="26" xr:uid="{5441CB17-5FFC-458B-B0F9-076749C7E0AA}"/>
    <cellStyle name="Accent4" xfId="27" xr:uid="{97B028D9-A129-43B6-A790-6897EADFFC7A}"/>
    <cellStyle name="Accent5" xfId="28" xr:uid="{9076072A-0EA9-41BD-AD46-63486A9CF390}"/>
    <cellStyle name="Accent6" xfId="29" xr:uid="{1E0B9BEF-D462-4A33-BD39-D14D37EDE7DD}"/>
    <cellStyle name="Bad" xfId="30" xr:uid="{2BC9C06B-AC3B-4C82-8C2A-51DB2842B485}"/>
    <cellStyle name="Bad 1" xfId="31" xr:uid="{48DC8E32-EA96-4E83-B98D-127935D4F08B}"/>
    <cellStyle name="Calculation" xfId="32" xr:uid="{852B5E50-689C-4247-8989-5B7909001444}"/>
    <cellStyle name="cf1" xfId="33" xr:uid="{CBAF7247-E707-47BC-8F01-2740AE02DB31}"/>
    <cellStyle name="cf10" xfId="34" xr:uid="{BFD69EB2-9D2F-47A9-873C-6950AE99F9E0}"/>
    <cellStyle name="cf2" xfId="35" xr:uid="{C3CF00A8-FAC5-4D25-8AF3-5015DB3DA70D}"/>
    <cellStyle name="cf3" xfId="36" xr:uid="{7FA8CCD4-0E5E-44A7-AAE4-0C4185EF6EBC}"/>
    <cellStyle name="cf4" xfId="37" xr:uid="{D1254E3C-41E4-4EEA-B3C9-D1B8D9A824B6}"/>
    <cellStyle name="cf5" xfId="38" xr:uid="{C545230B-B562-4BEB-87C3-E1B770031D25}"/>
    <cellStyle name="cf6" xfId="39" xr:uid="{7A63161E-DE89-4813-891E-0F096745E6BC}"/>
    <cellStyle name="cf7" xfId="40" xr:uid="{CB45837B-5798-440E-AEAE-43F07AF01F97}"/>
    <cellStyle name="cf8" xfId="41" xr:uid="{58671CA6-2F99-4D8D-A097-E407FB213BB2}"/>
    <cellStyle name="cf9" xfId="42" xr:uid="{4FE0E2DA-BB61-4AE6-BC7F-0D4AC0CB1787}"/>
    <cellStyle name="Check Cell" xfId="43" xr:uid="{6DE1CD8F-C2B6-4FBE-A2DE-4A2ECE177135}"/>
    <cellStyle name="ConditionalStyle_1" xfId="44" xr:uid="{F8E969D6-8B2D-40BC-9557-71D8666DC62B}"/>
    <cellStyle name="Error" xfId="45" xr:uid="{1AD5D08F-12C4-43ED-859E-45E001430EBA}"/>
    <cellStyle name="Excel Built-in Neutral" xfId="46" xr:uid="{8DD3818B-ED7B-45E9-87CB-D4E2A260A386}"/>
    <cellStyle name="Excel Built-in Total" xfId="47" xr:uid="{CD0EAA9B-9B1F-40ED-8A02-8412EC127EDB}"/>
    <cellStyle name="Excel_CondFormat_1_1_1" xfId="48" xr:uid="{C36CFD9A-A95D-47D1-95DF-B0470F1F8B28}"/>
    <cellStyle name="Explanatory Text" xfId="49" xr:uid="{26CA4BAC-1827-413B-984C-170DDDE7B7B9}"/>
    <cellStyle name="Footnote" xfId="50" xr:uid="{E2A0F686-7F08-4D88-995A-77C7DBEBA039}"/>
    <cellStyle name="Good" xfId="51" xr:uid="{C304950A-3134-4041-BBA1-66A56C113CAA}"/>
    <cellStyle name="Good 2" xfId="52" xr:uid="{FDB428C3-019E-49F1-B3A3-90E93C8AD9C3}"/>
    <cellStyle name="Heading" xfId="53" xr:uid="{7D0F4071-5A5D-408A-8A31-57650126B55C}"/>
    <cellStyle name="Heading 1" xfId="54" xr:uid="{B00B7492-7314-4C3A-BF72-D56952277795}"/>
    <cellStyle name="Heading 1 7" xfId="55" xr:uid="{C838E0CE-FF19-438C-BAF8-D016D55C6C68}"/>
    <cellStyle name="Heading 2" xfId="56" xr:uid="{86E59687-B213-4CA9-88FD-875652167F9B}"/>
    <cellStyle name="Heading 2 8" xfId="57" xr:uid="{6FE934DB-EB48-4C9D-9322-7EDE219AAA24}"/>
    <cellStyle name="Heading 3" xfId="58" xr:uid="{0F356AE7-58CA-48D4-8F2B-F61547DBBC9C}"/>
    <cellStyle name="Heading 4" xfId="59" xr:uid="{2B126051-1863-47E8-804E-DA7D868347DE}"/>
    <cellStyle name="Heading 5" xfId="60" xr:uid="{69A67E0E-DE99-4F93-9D13-89F0C73EB6D7}"/>
    <cellStyle name="Heading 6" xfId="61" xr:uid="{B16EF49D-583D-43EB-B5A8-977FC1E65D93}"/>
    <cellStyle name="Heading1 6" xfId="62" xr:uid="{E4D07B3D-7BF6-4EAF-829C-BC6FFF1CB3FB}"/>
    <cellStyle name="Hyperlink" xfId="63" xr:uid="{98180B73-7486-4882-BDB8-C8B7688E1E46}"/>
    <cellStyle name="Input" xfId="64" xr:uid="{EF746D78-837E-410C-A0F0-0EF1260EA01F}"/>
    <cellStyle name="Linked Cell" xfId="65" xr:uid="{12172DB8-0D76-4F75-8EA9-8DAC9F0FE2AF}"/>
    <cellStyle name="Neutral" xfId="1" builtinId="28" customBuiltin="1"/>
    <cellStyle name="Normal" xfId="0" builtinId="0" customBuiltin="1"/>
    <cellStyle name="Note" xfId="66" xr:uid="{10738E45-23D7-412F-B66A-31BFD1D4A2B2}"/>
    <cellStyle name="Note 9" xfId="67" xr:uid="{2B6181B6-2048-4511-8CC1-A82417887408}"/>
    <cellStyle name="Output" xfId="68" xr:uid="{14205DB0-03E7-491D-B810-7E40E2265F89}"/>
    <cellStyle name="Result" xfId="69" xr:uid="{FF9EC0BE-42EE-4257-A6B4-367019AC9EDC}"/>
    <cellStyle name="Result 10" xfId="70" xr:uid="{E7A5F3CE-BF65-45C7-B3DF-643EA7E1652E}"/>
    <cellStyle name="Result 7" xfId="71" xr:uid="{B9DADEED-F279-440C-BE76-DD5BD51468FE}"/>
    <cellStyle name="Result2" xfId="72" xr:uid="{A4D2071E-137C-4686-A929-BE7BDA7292A0}"/>
    <cellStyle name="Result2 8" xfId="73" xr:uid="{CAD51D0A-31BD-4EA9-BC05-B94F6BB5DA3A}"/>
    <cellStyle name="Status" xfId="74" xr:uid="{BB587BE9-B673-49DF-A136-C0805213CB88}"/>
    <cellStyle name="Text" xfId="75" xr:uid="{720B575A-E7B8-412C-9F20-1D9BCADF63A9}"/>
    <cellStyle name="Title" xfId="76" xr:uid="{F6DA1178-6015-44A2-A230-5DF84ECCA216}"/>
    <cellStyle name="Warning" xfId="77" xr:uid="{35152999-0D55-40F1-8F3B-15E21F20564F}"/>
    <cellStyle name="Warning Text" xfId="78" xr:uid="{6E8FCAFC-82B7-471B-9F2B-3FE78D85C5C9}"/>
  </cellStyles>
  <dxfs count="2">
    <dxf>
      <font>
        <color rgb="FFFF0000"/>
        <family val="2"/>
      </font>
    </dxf>
    <dxf>
      <font>
        <color rgb="FFFF0000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C845-059B-4044-BE06-10E5502B5767}">
  <dimension ref="B1:AA40"/>
  <sheetViews>
    <sheetView tabSelected="1" workbookViewId="0"/>
  </sheetViews>
  <sheetFormatPr baseColWidth="10" defaultRowHeight="13.9" x14ac:dyDescent="0.25"/>
  <cols>
    <col min="1" max="1" width="5" customWidth="1"/>
    <col min="2" max="2" width="16.42578125" customWidth="1"/>
    <col min="3" max="6" width="15.28515625" customWidth="1"/>
    <col min="7" max="7" width="15" customWidth="1"/>
    <col min="8" max="8" width="1.5703125" customWidth="1"/>
    <col min="9" max="9" width="7" style="5" customWidth="1"/>
    <col min="10" max="16" width="6.28515625" style="5" customWidth="1"/>
    <col min="17" max="17" width="6.140625" style="5" customWidth="1"/>
    <col min="18" max="26" width="6.28515625" style="5" customWidth="1"/>
    <col min="27" max="27" width="11.28515625" customWidth="1"/>
    <col min="28" max="1016" width="15.28515625" customWidth="1"/>
    <col min="1017" max="1024" width="13.7109375" customWidth="1"/>
  </cols>
  <sheetData>
    <row r="1" spans="2:27" s="1" customFormat="1" ht="15.75" x14ac:dyDescent="0.25">
      <c r="B1" s="11" t="s">
        <v>0</v>
      </c>
      <c r="C1" s="11"/>
      <c r="D1" s="11"/>
      <c r="E1" s="11"/>
      <c r="F1" s="11"/>
      <c r="G1" s="11"/>
      <c r="H1" s="2"/>
      <c r="I1" s="12" t="s">
        <v>1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2:27" s="1" customFormat="1" ht="15.75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7" s="1" customFormat="1" ht="15.75" x14ac:dyDescent="0.25">
      <c r="B3" s="13" t="s">
        <v>2</v>
      </c>
      <c r="C3" s="13"/>
      <c r="D3" s="13"/>
      <c r="E3" s="13"/>
      <c r="F3" s="13"/>
      <c r="G3" s="13"/>
      <c r="H3" s="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7" s="1" customFormat="1" ht="15.75" x14ac:dyDescent="0.25">
      <c r="B4" s="11" t="s">
        <v>3</v>
      </c>
      <c r="C4" s="11"/>
      <c r="D4" s="11"/>
      <c r="E4" s="11"/>
      <c r="F4" s="11"/>
      <c r="G4" s="11"/>
      <c r="H4" s="3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2:27" s="1" customFormat="1" ht="15.75" x14ac:dyDescent="0.25">
      <c r="B5" s="11"/>
      <c r="C5" s="11"/>
      <c r="D5" s="11"/>
      <c r="E5" s="11"/>
      <c r="F5" s="11"/>
      <c r="G5" s="11"/>
      <c r="H5" s="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7" ht="5.25" customHeight="1" x14ac:dyDescent="0.25"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2:27" ht="15" x14ac:dyDescent="0.25">
      <c r="AA7" s="5"/>
    </row>
    <row r="8" spans="2:27" ht="15" x14ac:dyDescent="0.25"/>
    <row r="9" spans="2:27" ht="17.25" customHeight="1" x14ac:dyDescent="0.25">
      <c r="B9" s="15" t="s">
        <v>4</v>
      </c>
      <c r="C9" s="15"/>
      <c r="D9" s="15"/>
      <c r="E9" s="15"/>
      <c r="F9" s="15"/>
      <c r="G9" s="15"/>
    </row>
    <row r="10" spans="2:27" ht="15" x14ac:dyDescent="0.25">
      <c r="B10" s="16" t="s">
        <v>5</v>
      </c>
      <c r="C10" s="16"/>
      <c r="D10" s="16"/>
      <c r="E10" s="16"/>
      <c r="F10" s="16"/>
      <c r="G10" s="16"/>
      <c r="I10" s="6">
        <v>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7" ht="15" x14ac:dyDescent="0.25">
      <c r="B11" s="16" t="s">
        <v>6</v>
      </c>
      <c r="C11" s="16"/>
      <c r="D11" s="16"/>
      <c r="E11" s="16"/>
      <c r="F11" s="16"/>
      <c r="G11" s="16"/>
      <c r="I11" s="6">
        <v>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7" ht="26.65" customHeight="1" x14ac:dyDescent="0.25">
      <c r="B12" s="16" t="s">
        <v>7</v>
      </c>
      <c r="C12" s="16"/>
      <c r="D12" s="16"/>
      <c r="E12" s="16"/>
      <c r="F12" s="16"/>
      <c r="G12" s="16"/>
      <c r="I12" s="6">
        <v>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7" ht="15" x14ac:dyDescent="0.25"/>
    <row r="14" spans="2:27" ht="17.25" customHeight="1" x14ac:dyDescent="0.25">
      <c r="B14" s="17" t="s">
        <v>8</v>
      </c>
      <c r="C14" s="17"/>
      <c r="D14" s="17"/>
      <c r="E14" s="17"/>
      <c r="F14" s="17"/>
      <c r="G14" s="17"/>
    </row>
    <row r="15" spans="2:27" ht="15" x14ac:dyDescent="0.25">
      <c r="B15" s="18" t="s">
        <v>9</v>
      </c>
      <c r="C15" s="18"/>
      <c r="D15" s="18"/>
      <c r="E15" s="18"/>
      <c r="F15" s="18"/>
      <c r="G15" s="18"/>
      <c r="I15" s="6">
        <v>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2:27" ht="15" x14ac:dyDescent="0.25">
      <c r="B16" s="18" t="s">
        <v>10</v>
      </c>
      <c r="C16" s="18"/>
      <c r="D16" s="18"/>
      <c r="E16" s="18"/>
      <c r="F16" s="18"/>
      <c r="G16" s="18"/>
      <c r="I16" s="6">
        <v>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2:26" ht="15" x14ac:dyDescent="0.25">
      <c r="B17" s="16" t="s">
        <v>11</v>
      </c>
      <c r="C17" s="16"/>
      <c r="D17" s="16"/>
      <c r="E17" s="16"/>
      <c r="F17" s="16"/>
      <c r="G17" s="16"/>
      <c r="I17" s="6">
        <v>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2:26" ht="15" x14ac:dyDescent="0.25">
      <c r="B18" s="16" t="s">
        <v>12</v>
      </c>
      <c r="C18" s="16"/>
      <c r="D18" s="16"/>
      <c r="E18" s="16"/>
      <c r="F18" s="16"/>
      <c r="G18" s="16"/>
      <c r="I18" s="6">
        <v>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2:26" ht="15" x14ac:dyDescent="0.25">
      <c r="B19" s="16" t="s">
        <v>13</v>
      </c>
      <c r="C19" s="16"/>
      <c r="D19" s="16"/>
      <c r="E19" s="16"/>
      <c r="F19" s="16"/>
      <c r="G19" s="16"/>
      <c r="I19" s="6">
        <v>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2:26" ht="15" x14ac:dyDescent="0.25">
      <c r="B20" s="18" t="s">
        <v>14</v>
      </c>
      <c r="C20" s="18"/>
      <c r="D20" s="18"/>
      <c r="E20" s="18"/>
      <c r="F20" s="18"/>
      <c r="G20" s="18"/>
      <c r="I20" s="6">
        <v>5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2:26" ht="15" x14ac:dyDescent="0.25">
      <c r="B21" s="18" t="s">
        <v>15</v>
      </c>
      <c r="C21" s="18"/>
      <c r="D21" s="18"/>
      <c r="E21" s="18"/>
      <c r="F21" s="18"/>
      <c r="G21" s="18"/>
      <c r="I21" s="6">
        <v>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2:26" ht="15" x14ac:dyDescent="0.25">
      <c r="B22" s="18" t="s">
        <v>16</v>
      </c>
      <c r="C22" s="18"/>
      <c r="D22" s="18"/>
      <c r="E22" s="18"/>
      <c r="F22" s="18"/>
      <c r="G22" s="18"/>
      <c r="I22" s="6">
        <v>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2:26" ht="15" x14ac:dyDescent="0.25">
      <c r="B23" s="7"/>
      <c r="C23" s="7"/>
      <c r="D23" s="7"/>
      <c r="E23" s="7"/>
      <c r="F23" s="7"/>
      <c r="G23" s="7"/>
    </row>
    <row r="24" spans="2:26" ht="17.25" customHeight="1" x14ac:dyDescent="0.25">
      <c r="B24" s="19" t="s">
        <v>17</v>
      </c>
      <c r="C24" s="19"/>
      <c r="D24" s="19"/>
      <c r="E24" s="19"/>
      <c r="F24" s="19"/>
      <c r="G24" s="19"/>
    </row>
    <row r="25" spans="2:26" ht="15" x14ac:dyDescent="0.25">
      <c r="B25" s="16" t="s">
        <v>18</v>
      </c>
      <c r="C25" s="16"/>
      <c r="D25" s="16"/>
      <c r="E25" s="16"/>
      <c r="F25" s="16"/>
      <c r="G25" s="16"/>
      <c r="I25" s="6">
        <v>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2:26" ht="15" x14ac:dyDescent="0.25">
      <c r="B26" s="16" t="s">
        <v>19</v>
      </c>
      <c r="C26" s="16"/>
      <c r="D26" s="16"/>
      <c r="E26" s="16"/>
      <c r="F26" s="16"/>
      <c r="G26" s="16"/>
      <c r="I26" s="6">
        <v>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2:26" ht="15" x14ac:dyDescent="0.25">
      <c r="B27" s="7"/>
      <c r="C27" s="7"/>
      <c r="D27" s="7"/>
      <c r="E27" s="7"/>
      <c r="F27" s="7"/>
      <c r="G27" s="7"/>
    </row>
    <row r="28" spans="2:26" ht="17.25" customHeight="1" x14ac:dyDescent="0.25">
      <c r="B28" s="20" t="s">
        <v>20</v>
      </c>
      <c r="C28" s="20"/>
      <c r="D28" s="20"/>
      <c r="E28" s="20"/>
      <c r="F28" s="20"/>
      <c r="G28" s="20"/>
    </row>
    <row r="29" spans="2:26" ht="15" x14ac:dyDescent="0.25">
      <c r="B29" s="16" t="s">
        <v>21</v>
      </c>
      <c r="C29" s="16"/>
      <c r="D29" s="16"/>
      <c r="E29" s="16"/>
      <c r="F29" s="16"/>
      <c r="G29" s="16"/>
      <c r="I29" s="6">
        <v>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2:26" ht="15" x14ac:dyDescent="0.25">
      <c r="B30" s="16" t="s">
        <v>22</v>
      </c>
      <c r="C30" s="16"/>
      <c r="D30" s="16"/>
      <c r="E30" s="16"/>
      <c r="F30" s="16"/>
      <c r="G30" s="16"/>
      <c r="I30" s="6">
        <v>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2:26" ht="15" x14ac:dyDescent="0.25">
      <c r="B31" s="16" t="s">
        <v>23</v>
      </c>
      <c r="C31" s="16"/>
      <c r="D31" s="16"/>
      <c r="E31" s="16"/>
      <c r="F31" s="16"/>
      <c r="G31" s="16"/>
      <c r="I31" s="6">
        <v>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2:26" ht="15" x14ac:dyDescent="0.25"/>
    <row r="33" spans="2:26" ht="17.25" customHeight="1" x14ac:dyDescent="0.25">
      <c r="B33" s="15" t="str">
        <f>B9</f>
        <v>Representación  y Manejo de Restricciones (20%)</v>
      </c>
      <c r="C33" s="15"/>
      <c r="D33" s="15"/>
      <c r="E33" s="15"/>
      <c r="F33" s="15"/>
      <c r="G33" s="15"/>
      <c r="I33" s="8">
        <f>AVERAGE(I10:I12)*100/5</f>
        <v>100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2:26" ht="17.25" customHeight="1" x14ac:dyDescent="0.25">
      <c r="B34" s="17" t="str">
        <f>B14</f>
        <v>Algoritmo  (60%)</v>
      </c>
      <c r="C34" s="17"/>
      <c r="D34" s="17"/>
      <c r="E34" s="17"/>
      <c r="F34" s="17"/>
      <c r="G34" s="17"/>
      <c r="I34" s="8">
        <f>AVERAGE(I15:I22)*100/5</f>
        <v>100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2:26" ht="17.25" customHeight="1" x14ac:dyDescent="0.25">
      <c r="B35" s="19" t="str">
        <f>B24</f>
        <v>Conclusiones (10%)</v>
      </c>
      <c r="C35" s="19"/>
      <c r="D35" s="19"/>
      <c r="E35" s="19"/>
      <c r="F35" s="19"/>
      <c r="G35" s="19"/>
      <c r="I35" s="8">
        <f>SUM(I25*1/2,I26*1/2)*100/5</f>
        <v>100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2:26" ht="17.25" customHeight="1" x14ac:dyDescent="0.25">
      <c r="B36" s="20" t="str">
        <f>B28</f>
        <v>Otros (10%)</v>
      </c>
      <c r="C36" s="20"/>
      <c r="D36" s="20"/>
      <c r="E36" s="20"/>
      <c r="F36" s="20"/>
      <c r="G36" s="20"/>
      <c r="I36" s="8">
        <f>SUM(I29*1/3,I30*1/3,I31*1/3)*100/5</f>
        <v>100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2:26" ht="16.5" customHeight="1" x14ac:dyDescent="0.25">
      <c r="B37" s="21" t="s">
        <v>24</v>
      </c>
      <c r="C37" s="21"/>
      <c r="D37" s="21"/>
      <c r="E37" s="21"/>
      <c r="F37" s="21"/>
      <c r="G37" s="21"/>
    </row>
    <row r="38" spans="2:26" ht="17.25" customHeight="1" x14ac:dyDescent="0.25">
      <c r="B38" s="22" t="s">
        <v>25</v>
      </c>
      <c r="C38" s="22"/>
      <c r="D38" s="22"/>
      <c r="E38" s="22"/>
      <c r="F38" s="22"/>
      <c r="G38" s="22"/>
      <c r="I38" s="9">
        <f>I33*0.2+I34*0.6+I35*0.1+I36*0.1</f>
        <v>100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40" spans="2:26" ht="15" x14ac:dyDescent="0.25">
      <c r="J40" s="10"/>
    </row>
  </sheetData>
  <mergeCells count="48">
    <mergeCell ref="B37:G37"/>
    <mergeCell ref="B38:G38"/>
    <mergeCell ref="B30:G30"/>
    <mergeCell ref="B31:G31"/>
    <mergeCell ref="B33:G33"/>
    <mergeCell ref="B34:G34"/>
    <mergeCell ref="B35:G35"/>
    <mergeCell ref="B36:G36"/>
    <mergeCell ref="B22:G22"/>
    <mergeCell ref="B24:G24"/>
    <mergeCell ref="B25:G25"/>
    <mergeCell ref="B26:G26"/>
    <mergeCell ref="B28:G28"/>
    <mergeCell ref="B29:G29"/>
    <mergeCell ref="B16:G16"/>
    <mergeCell ref="B17:G17"/>
    <mergeCell ref="B18:G18"/>
    <mergeCell ref="B19:G19"/>
    <mergeCell ref="B20:G20"/>
    <mergeCell ref="B21:G21"/>
    <mergeCell ref="B9:G9"/>
    <mergeCell ref="B10:G10"/>
    <mergeCell ref="B11:G11"/>
    <mergeCell ref="B12:G12"/>
    <mergeCell ref="B14:G14"/>
    <mergeCell ref="B15:G15"/>
    <mergeCell ref="V3:V5"/>
    <mergeCell ref="W3:W5"/>
    <mergeCell ref="X3:X5"/>
    <mergeCell ref="Y3:Y5"/>
    <mergeCell ref="Z3:Z5"/>
    <mergeCell ref="B4:G5"/>
    <mergeCell ref="P3:P5"/>
    <mergeCell ref="Q3:Q5"/>
    <mergeCell ref="R3:R5"/>
    <mergeCell ref="S3:S5"/>
    <mergeCell ref="T3:T5"/>
    <mergeCell ref="U3:U5"/>
    <mergeCell ref="B1:G1"/>
    <mergeCell ref="I1:Z1"/>
    <mergeCell ref="B3:G3"/>
    <mergeCell ref="I3:I5"/>
    <mergeCell ref="J3:J5"/>
    <mergeCell ref="K3:K5"/>
    <mergeCell ref="L3:L5"/>
    <mergeCell ref="M3:M5"/>
    <mergeCell ref="N3:N5"/>
    <mergeCell ref="O3:O5"/>
  </mergeCells>
  <conditionalFormatting sqref="I38:Z38">
    <cfRule type="cellIs" dxfId="0" priority="1" stopIfTrue="1" operator="lessThan">
      <formula>54.5</formula>
    </cfRule>
  </conditionalFormatting>
  <pageMargins left="0.51180000000000003" right="0.51180000000000003" top="1.4772000000000001" bottom="1.4772000000000001" header="1.0834999999999999" footer="1.0834999999999999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50720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Presentación EdAv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PABLO IGNACIO ESTOBAR FERNÁNDEZ (Alumno)</cp:lastModifiedBy>
  <cp:revision>281</cp:revision>
  <cp:lastPrinted>2022-11-30T15:21:06Z</cp:lastPrinted>
  <dcterms:created xsi:type="dcterms:W3CDTF">2009-05-15T18:03:33Z</dcterms:created>
  <dcterms:modified xsi:type="dcterms:W3CDTF">2025-05-29T18:37:01Z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